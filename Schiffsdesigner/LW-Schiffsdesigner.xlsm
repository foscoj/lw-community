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anitas\Desktop\Last War\LW_Schiffe\"/>
    </mc:Choice>
  </mc:AlternateContent>
  <xr:revisionPtr revIDLastSave="0" documentId="13_ncr:1_{6B3896BF-F819-47D6-BC08-B5E750E9461A}" xr6:coauthVersionLast="45" xr6:coauthVersionMax="45" xr10:uidLastSave="{00000000-0000-0000-0000-000000000000}"/>
  <bookViews>
    <workbookView xWindow="-120" yWindow="-120" windowWidth="29040" windowHeight="15840" firstSheet="2" activeTab="9" xr2:uid="{00000000-000D-0000-FFFF-FFFF00000000}"/>
  </bookViews>
  <sheets>
    <sheet name="Komponenten" sheetId="1" r:id="rId1"/>
    <sheet name="Rassen" sheetId="2" r:id="rId2"/>
    <sheet name="Forschungen" sheetId="3" r:id="rId3"/>
    <sheet name="Schiffsdesign 01" sheetId="4" r:id="rId4"/>
    <sheet name="Schiffsdesign 02" sheetId="11" r:id="rId5"/>
    <sheet name="Schiffsdesign 03" sheetId="12" r:id="rId6"/>
    <sheet name="Schiffsdesign 04" sheetId="13" r:id="rId7"/>
    <sheet name="Schiffsdesign 05" sheetId="14" r:id="rId8"/>
    <sheet name="Schiffsübersicht" sheetId="8" r:id="rId9"/>
    <sheet name="Releasenotes" sheetId="7" r:id="rId10"/>
  </sheets>
  <definedNames>
    <definedName name="_xlnm._FilterDatabase" localSheetId="3" hidden="1">'Schiffsdesign 01'!$S$5:$S$35</definedName>
    <definedName name="Antrieb">Komponenten!$C$5:$Y$14</definedName>
    <definedName name="Forschung">Forschungen!$B$6:$C$31</definedName>
    <definedName name="Rassen">Rassen!$A$2:$A$5</definedName>
    <definedName name="Rumpf">Komponenten!$C$2:$M$4</definedName>
    <definedName name="_xlnm.Extract" localSheetId="3">'Schiffsdesign 01'!$T$15:$T$35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8" i="14" l="1"/>
  <c r="L38" i="14"/>
  <c r="J38" i="14"/>
  <c r="I38" i="14"/>
  <c r="H38" i="14"/>
  <c r="G38" i="14"/>
  <c r="F38" i="14"/>
  <c r="E38" i="14"/>
  <c r="M37" i="14"/>
  <c r="L37" i="14"/>
  <c r="J37" i="14"/>
  <c r="I37" i="14"/>
  <c r="H37" i="14"/>
  <c r="G37" i="14"/>
  <c r="F37" i="14"/>
  <c r="E37" i="14"/>
  <c r="J36" i="14"/>
  <c r="I36" i="14"/>
  <c r="H36" i="14"/>
  <c r="G36" i="14"/>
  <c r="F36" i="14"/>
  <c r="E36" i="14"/>
  <c r="M35" i="14"/>
  <c r="L35" i="14"/>
  <c r="J35" i="14"/>
  <c r="I35" i="14"/>
  <c r="H35" i="14"/>
  <c r="G35" i="14"/>
  <c r="F35" i="14"/>
  <c r="E35" i="14"/>
  <c r="M34" i="14"/>
  <c r="L34" i="14"/>
  <c r="J34" i="14"/>
  <c r="I34" i="14"/>
  <c r="H34" i="14"/>
  <c r="G34" i="14"/>
  <c r="F34" i="14"/>
  <c r="E34" i="14"/>
  <c r="M33" i="14"/>
  <c r="L33" i="14"/>
  <c r="J33" i="14"/>
  <c r="I33" i="14"/>
  <c r="H33" i="14"/>
  <c r="G33" i="14"/>
  <c r="F33" i="14"/>
  <c r="E33" i="14"/>
  <c r="M32" i="14"/>
  <c r="L32" i="14"/>
  <c r="J32" i="14"/>
  <c r="I32" i="14"/>
  <c r="H32" i="14"/>
  <c r="G32" i="14"/>
  <c r="F32" i="14"/>
  <c r="E32" i="14"/>
  <c r="M31" i="14"/>
  <c r="L31" i="14"/>
  <c r="J31" i="14"/>
  <c r="I31" i="14"/>
  <c r="H31" i="14"/>
  <c r="G31" i="14"/>
  <c r="F31" i="14"/>
  <c r="E31" i="14"/>
  <c r="M30" i="14"/>
  <c r="L30" i="14"/>
  <c r="J30" i="14"/>
  <c r="I30" i="14"/>
  <c r="H30" i="14"/>
  <c r="G30" i="14"/>
  <c r="F30" i="14"/>
  <c r="E30" i="14"/>
  <c r="M29" i="14"/>
  <c r="L29" i="14"/>
  <c r="J29" i="14"/>
  <c r="I29" i="14"/>
  <c r="H29" i="14"/>
  <c r="G29" i="14"/>
  <c r="F29" i="14"/>
  <c r="E29" i="14"/>
  <c r="M28" i="14"/>
  <c r="L28" i="14"/>
  <c r="J28" i="14"/>
  <c r="I28" i="14"/>
  <c r="H28" i="14"/>
  <c r="G28" i="14"/>
  <c r="F28" i="14"/>
  <c r="E28" i="14"/>
  <c r="M27" i="14"/>
  <c r="L27" i="14"/>
  <c r="J27" i="14"/>
  <c r="I27" i="14"/>
  <c r="H27" i="14"/>
  <c r="G27" i="14"/>
  <c r="F27" i="14"/>
  <c r="E27" i="14"/>
  <c r="M26" i="14"/>
  <c r="L26" i="14"/>
  <c r="J26" i="14"/>
  <c r="I26" i="14"/>
  <c r="H26" i="14"/>
  <c r="G26" i="14"/>
  <c r="F26" i="14"/>
  <c r="E26" i="14"/>
  <c r="M25" i="14"/>
  <c r="L25" i="14"/>
  <c r="J25" i="14"/>
  <c r="I25" i="14"/>
  <c r="H25" i="14"/>
  <c r="G25" i="14"/>
  <c r="F25" i="14"/>
  <c r="E25" i="14"/>
  <c r="M24" i="14"/>
  <c r="L24" i="14"/>
  <c r="J24" i="14"/>
  <c r="I24" i="14"/>
  <c r="H24" i="14"/>
  <c r="G24" i="14"/>
  <c r="F24" i="14"/>
  <c r="E24" i="14"/>
  <c r="M23" i="14"/>
  <c r="L23" i="14"/>
  <c r="J23" i="14"/>
  <c r="I23" i="14"/>
  <c r="H23" i="14"/>
  <c r="G23" i="14"/>
  <c r="F23" i="14"/>
  <c r="E23" i="14"/>
  <c r="M22" i="14"/>
  <c r="L22" i="14"/>
  <c r="J22" i="14"/>
  <c r="I22" i="14"/>
  <c r="H22" i="14"/>
  <c r="G22" i="14"/>
  <c r="F22" i="14"/>
  <c r="E22" i="14"/>
  <c r="M21" i="14"/>
  <c r="L21" i="14"/>
  <c r="J21" i="14"/>
  <c r="I21" i="14"/>
  <c r="H21" i="14"/>
  <c r="G21" i="14"/>
  <c r="F21" i="14"/>
  <c r="E21" i="14"/>
  <c r="M20" i="14"/>
  <c r="L20" i="14"/>
  <c r="J20" i="14"/>
  <c r="I20" i="14"/>
  <c r="H20" i="14"/>
  <c r="G20" i="14"/>
  <c r="F20" i="14"/>
  <c r="E20" i="14"/>
  <c r="M19" i="14"/>
  <c r="L19" i="14"/>
  <c r="J19" i="14"/>
  <c r="I19" i="14"/>
  <c r="H19" i="14"/>
  <c r="G19" i="14"/>
  <c r="F19" i="14"/>
  <c r="E19" i="14"/>
  <c r="M18" i="14"/>
  <c r="L18" i="14"/>
  <c r="J18" i="14"/>
  <c r="I18" i="14"/>
  <c r="H18" i="14"/>
  <c r="G18" i="14"/>
  <c r="F18" i="14"/>
  <c r="E18" i="14"/>
  <c r="M17" i="14"/>
  <c r="L17" i="14"/>
  <c r="J17" i="14"/>
  <c r="I17" i="14"/>
  <c r="H17" i="14"/>
  <c r="G17" i="14"/>
  <c r="F17" i="14"/>
  <c r="E17" i="14"/>
  <c r="M16" i="14"/>
  <c r="L16" i="14"/>
  <c r="J16" i="14"/>
  <c r="I16" i="14"/>
  <c r="H16" i="14"/>
  <c r="G16" i="14"/>
  <c r="F16" i="14"/>
  <c r="E16" i="14"/>
  <c r="M15" i="14"/>
  <c r="L15" i="14"/>
  <c r="J15" i="14"/>
  <c r="I15" i="14"/>
  <c r="H15" i="14"/>
  <c r="G15" i="14"/>
  <c r="F15" i="14"/>
  <c r="E15" i="14"/>
  <c r="M14" i="14"/>
  <c r="L14" i="14"/>
  <c r="J14" i="14"/>
  <c r="I14" i="14"/>
  <c r="H14" i="14"/>
  <c r="G14" i="14"/>
  <c r="F14" i="14"/>
  <c r="E14" i="14"/>
  <c r="M13" i="14"/>
  <c r="L13" i="14"/>
  <c r="J13" i="14"/>
  <c r="I13" i="14"/>
  <c r="H13" i="14"/>
  <c r="G13" i="14"/>
  <c r="F13" i="14"/>
  <c r="E13" i="14"/>
  <c r="M12" i="14"/>
  <c r="L12" i="14"/>
  <c r="J12" i="14"/>
  <c r="I12" i="14"/>
  <c r="H12" i="14"/>
  <c r="G12" i="14"/>
  <c r="F12" i="14"/>
  <c r="E12" i="14"/>
  <c r="M11" i="14"/>
  <c r="L11" i="14"/>
  <c r="J11" i="14"/>
  <c r="I11" i="14"/>
  <c r="H11" i="14"/>
  <c r="G11" i="14"/>
  <c r="F11" i="14"/>
  <c r="E11" i="14"/>
  <c r="M10" i="14"/>
  <c r="L10" i="14"/>
  <c r="J10" i="14"/>
  <c r="I10" i="14"/>
  <c r="H10" i="14"/>
  <c r="G10" i="14"/>
  <c r="F10" i="14"/>
  <c r="E10" i="14"/>
  <c r="M9" i="14"/>
  <c r="L9" i="14"/>
  <c r="J9" i="14"/>
  <c r="I9" i="14"/>
  <c r="H9" i="14"/>
  <c r="G9" i="14"/>
  <c r="F9" i="14"/>
  <c r="E9" i="14"/>
  <c r="M8" i="14"/>
  <c r="L8" i="14"/>
  <c r="J8" i="14"/>
  <c r="I8" i="14"/>
  <c r="H8" i="14"/>
  <c r="G8" i="14"/>
  <c r="F8" i="14"/>
  <c r="E8" i="14"/>
  <c r="M7" i="14"/>
  <c r="L7" i="14"/>
  <c r="J7" i="14"/>
  <c r="I7" i="14"/>
  <c r="H7" i="14"/>
  <c r="G7" i="14"/>
  <c r="F7" i="14"/>
  <c r="E7" i="14"/>
  <c r="M6" i="14"/>
  <c r="L6" i="14"/>
  <c r="J6" i="14"/>
  <c r="I6" i="14"/>
  <c r="H6" i="14"/>
  <c r="G6" i="14"/>
  <c r="F6" i="14"/>
  <c r="E6" i="14"/>
  <c r="M5" i="14"/>
  <c r="M36" i="14" s="1"/>
  <c r="L5" i="14"/>
  <c r="J5" i="14"/>
  <c r="I5" i="14"/>
  <c r="H5" i="14"/>
  <c r="G5" i="14"/>
  <c r="F5" i="14"/>
  <c r="E5" i="14"/>
  <c r="L4" i="14"/>
  <c r="K4" i="14"/>
  <c r="L36" i="14" s="1"/>
  <c r="J4" i="14"/>
  <c r="I4" i="14"/>
  <c r="H4" i="14"/>
  <c r="G4" i="14"/>
  <c r="F4" i="14"/>
  <c r="E4" i="14"/>
  <c r="M38" i="13"/>
  <c r="L38" i="13"/>
  <c r="J38" i="13"/>
  <c r="I38" i="13"/>
  <c r="H38" i="13"/>
  <c r="G38" i="13"/>
  <c r="F38" i="13"/>
  <c r="E38" i="13"/>
  <c r="M37" i="13"/>
  <c r="L37" i="13"/>
  <c r="J37" i="13"/>
  <c r="I37" i="13"/>
  <c r="H37" i="13"/>
  <c r="G37" i="13"/>
  <c r="F37" i="13"/>
  <c r="E37" i="13"/>
  <c r="J36" i="13"/>
  <c r="I36" i="13"/>
  <c r="H36" i="13"/>
  <c r="G36" i="13"/>
  <c r="F36" i="13"/>
  <c r="E36" i="13"/>
  <c r="M35" i="13"/>
  <c r="L35" i="13"/>
  <c r="J35" i="13"/>
  <c r="I35" i="13"/>
  <c r="H35" i="13"/>
  <c r="G35" i="13"/>
  <c r="F35" i="13"/>
  <c r="E35" i="13"/>
  <c r="M34" i="13"/>
  <c r="L34" i="13"/>
  <c r="J34" i="13"/>
  <c r="I34" i="13"/>
  <c r="H34" i="13"/>
  <c r="G34" i="13"/>
  <c r="F34" i="13"/>
  <c r="E34" i="13"/>
  <c r="M33" i="13"/>
  <c r="L33" i="13"/>
  <c r="J33" i="13"/>
  <c r="I33" i="13"/>
  <c r="H33" i="13"/>
  <c r="G33" i="13"/>
  <c r="F33" i="13"/>
  <c r="E33" i="13"/>
  <c r="M32" i="13"/>
  <c r="L32" i="13"/>
  <c r="J32" i="13"/>
  <c r="I32" i="13"/>
  <c r="H32" i="13"/>
  <c r="G32" i="13"/>
  <c r="F32" i="13"/>
  <c r="E32" i="13"/>
  <c r="M31" i="13"/>
  <c r="L31" i="13"/>
  <c r="J31" i="13"/>
  <c r="I31" i="13"/>
  <c r="H31" i="13"/>
  <c r="G31" i="13"/>
  <c r="F31" i="13"/>
  <c r="E31" i="13"/>
  <c r="M30" i="13"/>
  <c r="L30" i="13"/>
  <c r="J30" i="13"/>
  <c r="I30" i="13"/>
  <c r="H30" i="13"/>
  <c r="G30" i="13"/>
  <c r="F30" i="13"/>
  <c r="E30" i="13"/>
  <c r="M29" i="13"/>
  <c r="L29" i="13"/>
  <c r="J29" i="13"/>
  <c r="I29" i="13"/>
  <c r="H29" i="13"/>
  <c r="G29" i="13"/>
  <c r="F29" i="13"/>
  <c r="E29" i="13"/>
  <c r="M28" i="13"/>
  <c r="L28" i="13"/>
  <c r="J28" i="13"/>
  <c r="I28" i="13"/>
  <c r="H28" i="13"/>
  <c r="G28" i="13"/>
  <c r="F28" i="13"/>
  <c r="E28" i="13"/>
  <c r="M27" i="13"/>
  <c r="L27" i="13"/>
  <c r="J27" i="13"/>
  <c r="I27" i="13"/>
  <c r="H27" i="13"/>
  <c r="G27" i="13"/>
  <c r="F27" i="13"/>
  <c r="E27" i="13"/>
  <c r="M26" i="13"/>
  <c r="L26" i="13"/>
  <c r="J26" i="13"/>
  <c r="I26" i="13"/>
  <c r="H26" i="13"/>
  <c r="G26" i="13"/>
  <c r="F26" i="13"/>
  <c r="E26" i="13"/>
  <c r="M25" i="13"/>
  <c r="L25" i="13"/>
  <c r="J25" i="13"/>
  <c r="I25" i="13"/>
  <c r="H25" i="13"/>
  <c r="G25" i="13"/>
  <c r="F25" i="13"/>
  <c r="E25" i="13"/>
  <c r="M24" i="13"/>
  <c r="L24" i="13"/>
  <c r="J24" i="13"/>
  <c r="I24" i="13"/>
  <c r="H24" i="13"/>
  <c r="G24" i="13"/>
  <c r="F24" i="13"/>
  <c r="E24" i="13"/>
  <c r="M23" i="13"/>
  <c r="L23" i="13"/>
  <c r="J23" i="13"/>
  <c r="I23" i="13"/>
  <c r="H23" i="13"/>
  <c r="G23" i="13"/>
  <c r="F23" i="13"/>
  <c r="E23" i="13"/>
  <c r="M22" i="13"/>
  <c r="L22" i="13"/>
  <c r="J22" i="13"/>
  <c r="I22" i="13"/>
  <c r="H22" i="13"/>
  <c r="G22" i="13"/>
  <c r="F22" i="13"/>
  <c r="E22" i="13"/>
  <c r="M21" i="13"/>
  <c r="L21" i="13"/>
  <c r="J21" i="13"/>
  <c r="I21" i="13"/>
  <c r="H21" i="13"/>
  <c r="G21" i="13"/>
  <c r="F21" i="13"/>
  <c r="E21" i="13"/>
  <c r="M20" i="13"/>
  <c r="L20" i="13"/>
  <c r="J20" i="13"/>
  <c r="I20" i="13"/>
  <c r="H20" i="13"/>
  <c r="G20" i="13"/>
  <c r="F20" i="13"/>
  <c r="E20" i="13"/>
  <c r="M19" i="13"/>
  <c r="L19" i="13"/>
  <c r="J19" i="13"/>
  <c r="I19" i="13"/>
  <c r="H19" i="13"/>
  <c r="G19" i="13"/>
  <c r="F19" i="13"/>
  <c r="E19" i="13"/>
  <c r="M18" i="13"/>
  <c r="L18" i="13"/>
  <c r="J18" i="13"/>
  <c r="I18" i="13"/>
  <c r="H18" i="13"/>
  <c r="G18" i="13"/>
  <c r="F18" i="13"/>
  <c r="E18" i="13"/>
  <c r="M17" i="13"/>
  <c r="L17" i="13"/>
  <c r="J17" i="13"/>
  <c r="I17" i="13"/>
  <c r="H17" i="13"/>
  <c r="G17" i="13"/>
  <c r="F17" i="13"/>
  <c r="E17" i="13"/>
  <c r="M16" i="13"/>
  <c r="L16" i="13"/>
  <c r="J16" i="13"/>
  <c r="I16" i="13"/>
  <c r="H16" i="13"/>
  <c r="G16" i="13"/>
  <c r="F16" i="13"/>
  <c r="E16" i="13"/>
  <c r="M15" i="13"/>
  <c r="L15" i="13"/>
  <c r="J15" i="13"/>
  <c r="I15" i="13"/>
  <c r="H15" i="13"/>
  <c r="G15" i="13"/>
  <c r="F15" i="13"/>
  <c r="E15" i="13"/>
  <c r="M14" i="13"/>
  <c r="L14" i="13"/>
  <c r="J14" i="13"/>
  <c r="I14" i="13"/>
  <c r="H14" i="13"/>
  <c r="G14" i="13"/>
  <c r="F14" i="13"/>
  <c r="E14" i="13"/>
  <c r="M13" i="13"/>
  <c r="L13" i="13"/>
  <c r="J13" i="13"/>
  <c r="I13" i="13"/>
  <c r="H13" i="13"/>
  <c r="G13" i="13"/>
  <c r="F13" i="13"/>
  <c r="E13" i="13"/>
  <c r="M12" i="13"/>
  <c r="L12" i="13"/>
  <c r="J12" i="13"/>
  <c r="I12" i="13"/>
  <c r="H12" i="13"/>
  <c r="G12" i="13"/>
  <c r="F12" i="13"/>
  <c r="E12" i="13"/>
  <c r="M11" i="13"/>
  <c r="L11" i="13"/>
  <c r="J11" i="13"/>
  <c r="I11" i="13"/>
  <c r="H11" i="13"/>
  <c r="G11" i="13"/>
  <c r="F11" i="13"/>
  <c r="E11" i="13"/>
  <c r="M10" i="13"/>
  <c r="L10" i="13"/>
  <c r="J10" i="13"/>
  <c r="I10" i="13"/>
  <c r="H10" i="13"/>
  <c r="G10" i="13"/>
  <c r="F10" i="13"/>
  <c r="E10" i="13"/>
  <c r="M9" i="13"/>
  <c r="L9" i="13"/>
  <c r="J9" i="13"/>
  <c r="I9" i="13"/>
  <c r="H9" i="13"/>
  <c r="G9" i="13"/>
  <c r="F9" i="13"/>
  <c r="E9" i="13"/>
  <c r="M8" i="13"/>
  <c r="L8" i="13"/>
  <c r="J8" i="13"/>
  <c r="I8" i="13"/>
  <c r="H8" i="13"/>
  <c r="G8" i="13"/>
  <c r="F8" i="13"/>
  <c r="E8" i="13"/>
  <c r="M7" i="13"/>
  <c r="L7" i="13"/>
  <c r="J7" i="13"/>
  <c r="I7" i="13"/>
  <c r="H7" i="13"/>
  <c r="G7" i="13"/>
  <c r="F7" i="13"/>
  <c r="E7" i="13"/>
  <c r="M6" i="13"/>
  <c r="L6" i="13"/>
  <c r="J6" i="13"/>
  <c r="I6" i="13"/>
  <c r="H6" i="13"/>
  <c r="G6" i="13"/>
  <c r="F6" i="13"/>
  <c r="E6" i="13"/>
  <c r="M5" i="13"/>
  <c r="M36" i="13" s="1"/>
  <c r="L5" i="13"/>
  <c r="J5" i="13"/>
  <c r="I5" i="13"/>
  <c r="H5" i="13"/>
  <c r="G5" i="13"/>
  <c r="F5" i="13"/>
  <c r="E5" i="13"/>
  <c r="L4" i="13"/>
  <c r="K4" i="13"/>
  <c r="L36" i="13" s="1"/>
  <c r="J4" i="13"/>
  <c r="I4" i="13"/>
  <c r="H4" i="13"/>
  <c r="G4" i="13"/>
  <c r="F4" i="13"/>
  <c r="E4" i="13"/>
  <c r="M38" i="12"/>
  <c r="L38" i="12"/>
  <c r="J38" i="12"/>
  <c r="I38" i="12"/>
  <c r="H38" i="12"/>
  <c r="G38" i="12"/>
  <c r="F38" i="12"/>
  <c r="E38" i="12"/>
  <c r="M37" i="12"/>
  <c r="L37" i="12"/>
  <c r="J37" i="12"/>
  <c r="I37" i="12"/>
  <c r="H37" i="12"/>
  <c r="G37" i="12"/>
  <c r="F37" i="12"/>
  <c r="E37" i="12"/>
  <c r="J36" i="12"/>
  <c r="I36" i="12"/>
  <c r="H36" i="12"/>
  <c r="G36" i="12"/>
  <c r="F36" i="12"/>
  <c r="E36" i="12"/>
  <c r="M35" i="12"/>
  <c r="L35" i="12"/>
  <c r="J35" i="12"/>
  <c r="I35" i="12"/>
  <c r="H35" i="12"/>
  <c r="G35" i="12"/>
  <c r="F35" i="12"/>
  <c r="E35" i="12"/>
  <c r="M34" i="12"/>
  <c r="L34" i="12"/>
  <c r="J34" i="12"/>
  <c r="I34" i="12"/>
  <c r="H34" i="12"/>
  <c r="G34" i="12"/>
  <c r="F34" i="12"/>
  <c r="E34" i="12"/>
  <c r="M33" i="12"/>
  <c r="L33" i="12"/>
  <c r="J33" i="12"/>
  <c r="I33" i="12"/>
  <c r="H33" i="12"/>
  <c r="G33" i="12"/>
  <c r="F33" i="12"/>
  <c r="E33" i="12"/>
  <c r="M32" i="12"/>
  <c r="L32" i="12"/>
  <c r="J32" i="12"/>
  <c r="I32" i="12"/>
  <c r="H32" i="12"/>
  <c r="G32" i="12"/>
  <c r="F32" i="12"/>
  <c r="E32" i="12"/>
  <c r="M31" i="12"/>
  <c r="L31" i="12"/>
  <c r="J31" i="12"/>
  <c r="I31" i="12"/>
  <c r="H31" i="12"/>
  <c r="G31" i="12"/>
  <c r="F31" i="12"/>
  <c r="E31" i="12"/>
  <c r="M30" i="12"/>
  <c r="L30" i="12"/>
  <c r="J30" i="12"/>
  <c r="I30" i="12"/>
  <c r="H30" i="12"/>
  <c r="G30" i="12"/>
  <c r="F30" i="12"/>
  <c r="E30" i="12"/>
  <c r="M29" i="12"/>
  <c r="L29" i="12"/>
  <c r="J29" i="12"/>
  <c r="I29" i="12"/>
  <c r="H29" i="12"/>
  <c r="G29" i="12"/>
  <c r="F29" i="12"/>
  <c r="E29" i="12"/>
  <c r="M28" i="12"/>
  <c r="L28" i="12"/>
  <c r="J28" i="12"/>
  <c r="I28" i="12"/>
  <c r="H28" i="12"/>
  <c r="G28" i="12"/>
  <c r="F28" i="12"/>
  <c r="E28" i="12"/>
  <c r="M27" i="12"/>
  <c r="L27" i="12"/>
  <c r="J27" i="12"/>
  <c r="I27" i="12"/>
  <c r="H27" i="12"/>
  <c r="G27" i="12"/>
  <c r="F27" i="12"/>
  <c r="E27" i="12"/>
  <c r="M26" i="12"/>
  <c r="L26" i="12"/>
  <c r="J26" i="12"/>
  <c r="I26" i="12"/>
  <c r="H26" i="12"/>
  <c r="G26" i="12"/>
  <c r="F26" i="12"/>
  <c r="E26" i="12"/>
  <c r="M25" i="12"/>
  <c r="L25" i="12"/>
  <c r="J25" i="12"/>
  <c r="I25" i="12"/>
  <c r="H25" i="12"/>
  <c r="G25" i="12"/>
  <c r="F25" i="12"/>
  <c r="E25" i="12"/>
  <c r="M24" i="12"/>
  <c r="L24" i="12"/>
  <c r="J24" i="12"/>
  <c r="I24" i="12"/>
  <c r="H24" i="12"/>
  <c r="G24" i="12"/>
  <c r="F24" i="12"/>
  <c r="E24" i="12"/>
  <c r="M23" i="12"/>
  <c r="L23" i="12"/>
  <c r="J23" i="12"/>
  <c r="I23" i="12"/>
  <c r="H23" i="12"/>
  <c r="G23" i="12"/>
  <c r="F23" i="12"/>
  <c r="E23" i="12"/>
  <c r="M22" i="12"/>
  <c r="L22" i="12"/>
  <c r="J22" i="12"/>
  <c r="I22" i="12"/>
  <c r="H22" i="12"/>
  <c r="G22" i="12"/>
  <c r="F22" i="12"/>
  <c r="E22" i="12"/>
  <c r="M21" i="12"/>
  <c r="L21" i="12"/>
  <c r="J21" i="12"/>
  <c r="I21" i="12"/>
  <c r="H21" i="12"/>
  <c r="G21" i="12"/>
  <c r="F21" i="12"/>
  <c r="E21" i="12"/>
  <c r="M20" i="12"/>
  <c r="L20" i="12"/>
  <c r="J20" i="12"/>
  <c r="I20" i="12"/>
  <c r="H20" i="12"/>
  <c r="G20" i="12"/>
  <c r="F20" i="12"/>
  <c r="E20" i="12"/>
  <c r="M19" i="12"/>
  <c r="L19" i="12"/>
  <c r="J19" i="12"/>
  <c r="I19" i="12"/>
  <c r="H19" i="12"/>
  <c r="G19" i="12"/>
  <c r="F19" i="12"/>
  <c r="E19" i="12"/>
  <c r="M18" i="12"/>
  <c r="L18" i="12"/>
  <c r="J18" i="12"/>
  <c r="I18" i="12"/>
  <c r="H18" i="12"/>
  <c r="G18" i="12"/>
  <c r="F18" i="12"/>
  <c r="E18" i="12"/>
  <c r="M17" i="12"/>
  <c r="L17" i="12"/>
  <c r="J17" i="12"/>
  <c r="I17" i="12"/>
  <c r="H17" i="12"/>
  <c r="G17" i="12"/>
  <c r="F17" i="12"/>
  <c r="E17" i="12"/>
  <c r="M16" i="12"/>
  <c r="L16" i="12"/>
  <c r="J16" i="12"/>
  <c r="I16" i="12"/>
  <c r="H16" i="12"/>
  <c r="G16" i="12"/>
  <c r="F16" i="12"/>
  <c r="E16" i="12"/>
  <c r="M15" i="12"/>
  <c r="L15" i="12"/>
  <c r="J15" i="12"/>
  <c r="I15" i="12"/>
  <c r="H15" i="12"/>
  <c r="G15" i="12"/>
  <c r="F15" i="12"/>
  <c r="E15" i="12"/>
  <c r="M14" i="12"/>
  <c r="L14" i="12"/>
  <c r="J14" i="12"/>
  <c r="I14" i="12"/>
  <c r="H14" i="12"/>
  <c r="G14" i="12"/>
  <c r="F14" i="12"/>
  <c r="E14" i="12"/>
  <c r="M13" i="12"/>
  <c r="L13" i="12"/>
  <c r="J13" i="12"/>
  <c r="I13" i="12"/>
  <c r="H13" i="12"/>
  <c r="G13" i="12"/>
  <c r="F13" i="12"/>
  <c r="E13" i="12"/>
  <c r="M12" i="12"/>
  <c r="L12" i="12"/>
  <c r="J12" i="12"/>
  <c r="I12" i="12"/>
  <c r="H12" i="12"/>
  <c r="G12" i="12"/>
  <c r="F12" i="12"/>
  <c r="E12" i="12"/>
  <c r="M11" i="12"/>
  <c r="L11" i="12"/>
  <c r="J11" i="12"/>
  <c r="I11" i="12"/>
  <c r="H11" i="12"/>
  <c r="G11" i="12"/>
  <c r="F11" i="12"/>
  <c r="E11" i="12"/>
  <c r="M10" i="12"/>
  <c r="L10" i="12"/>
  <c r="J10" i="12"/>
  <c r="I10" i="12"/>
  <c r="H10" i="12"/>
  <c r="G10" i="12"/>
  <c r="F10" i="12"/>
  <c r="E10" i="12"/>
  <c r="M9" i="12"/>
  <c r="L9" i="12"/>
  <c r="J9" i="12"/>
  <c r="I9" i="12"/>
  <c r="H9" i="12"/>
  <c r="G9" i="12"/>
  <c r="F9" i="12"/>
  <c r="E9" i="12"/>
  <c r="M8" i="12"/>
  <c r="L8" i="12"/>
  <c r="J8" i="12"/>
  <c r="I8" i="12"/>
  <c r="H8" i="12"/>
  <c r="G8" i="12"/>
  <c r="F8" i="12"/>
  <c r="E8" i="12"/>
  <c r="M7" i="12"/>
  <c r="L7" i="12"/>
  <c r="J7" i="12"/>
  <c r="I7" i="12"/>
  <c r="H7" i="12"/>
  <c r="G7" i="12"/>
  <c r="F7" i="12"/>
  <c r="E7" i="12"/>
  <c r="M6" i="12"/>
  <c r="L6" i="12"/>
  <c r="J6" i="12"/>
  <c r="I6" i="12"/>
  <c r="H6" i="12"/>
  <c r="G6" i="12"/>
  <c r="F6" i="12"/>
  <c r="E6" i="12"/>
  <c r="M5" i="12"/>
  <c r="M36" i="12" s="1"/>
  <c r="L5" i="12"/>
  <c r="J5" i="12"/>
  <c r="I5" i="12"/>
  <c r="H5" i="12"/>
  <c r="G5" i="12"/>
  <c r="F5" i="12"/>
  <c r="E5" i="12"/>
  <c r="L4" i="12"/>
  <c r="K4" i="12"/>
  <c r="L36" i="12" s="1"/>
  <c r="J4" i="12"/>
  <c r="I4" i="12"/>
  <c r="H4" i="12"/>
  <c r="G4" i="12"/>
  <c r="F4" i="12"/>
  <c r="E4" i="12"/>
  <c r="M38" i="11"/>
  <c r="L38" i="11"/>
  <c r="J38" i="11"/>
  <c r="I38" i="11"/>
  <c r="H38" i="11"/>
  <c r="G38" i="11"/>
  <c r="F38" i="11"/>
  <c r="E38" i="11"/>
  <c r="M37" i="11"/>
  <c r="L37" i="11"/>
  <c r="J37" i="11"/>
  <c r="I37" i="11"/>
  <c r="H37" i="11"/>
  <c r="G37" i="11"/>
  <c r="F37" i="11"/>
  <c r="E37" i="11"/>
  <c r="J36" i="11"/>
  <c r="I36" i="11"/>
  <c r="H36" i="11"/>
  <c r="G36" i="11"/>
  <c r="F36" i="11"/>
  <c r="E36" i="11"/>
  <c r="M35" i="11"/>
  <c r="L35" i="11"/>
  <c r="J35" i="11"/>
  <c r="I35" i="11"/>
  <c r="H35" i="11"/>
  <c r="G35" i="11"/>
  <c r="F35" i="11"/>
  <c r="E35" i="11"/>
  <c r="M34" i="11"/>
  <c r="L34" i="11"/>
  <c r="J34" i="11"/>
  <c r="I34" i="11"/>
  <c r="H34" i="11"/>
  <c r="G34" i="11"/>
  <c r="F34" i="11"/>
  <c r="E34" i="11"/>
  <c r="M33" i="11"/>
  <c r="L33" i="11"/>
  <c r="J33" i="11"/>
  <c r="I33" i="11"/>
  <c r="H33" i="11"/>
  <c r="G33" i="11"/>
  <c r="F33" i="11"/>
  <c r="E33" i="11"/>
  <c r="M32" i="11"/>
  <c r="L32" i="11"/>
  <c r="J32" i="11"/>
  <c r="I32" i="11"/>
  <c r="H32" i="11"/>
  <c r="G32" i="11"/>
  <c r="F32" i="11"/>
  <c r="E32" i="11"/>
  <c r="M31" i="11"/>
  <c r="L31" i="11"/>
  <c r="J31" i="11"/>
  <c r="I31" i="11"/>
  <c r="H31" i="11"/>
  <c r="G31" i="11"/>
  <c r="F31" i="11"/>
  <c r="E31" i="11"/>
  <c r="M30" i="11"/>
  <c r="L30" i="11"/>
  <c r="J30" i="11"/>
  <c r="I30" i="11"/>
  <c r="H30" i="11"/>
  <c r="G30" i="11"/>
  <c r="F30" i="11"/>
  <c r="E30" i="11"/>
  <c r="M29" i="11"/>
  <c r="L29" i="11"/>
  <c r="J29" i="11"/>
  <c r="I29" i="11"/>
  <c r="H29" i="11"/>
  <c r="G29" i="11"/>
  <c r="F29" i="11"/>
  <c r="E29" i="11"/>
  <c r="M28" i="11"/>
  <c r="L28" i="11"/>
  <c r="J28" i="11"/>
  <c r="I28" i="11"/>
  <c r="H28" i="11"/>
  <c r="G28" i="11"/>
  <c r="F28" i="11"/>
  <c r="E28" i="11"/>
  <c r="M27" i="11"/>
  <c r="L27" i="11"/>
  <c r="J27" i="11"/>
  <c r="I27" i="11"/>
  <c r="H27" i="11"/>
  <c r="G27" i="11"/>
  <c r="F27" i="11"/>
  <c r="E27" i="11"/>
  <c r="M26" i="11"/>
  <c r="L26" i="11"/>
  <c r="J26" i="11"/>
  <c r="I26" i="11"/>
  <c r="H26" i="11"/>
  <c r="G26" i="11"/>
  <c r="F26" i="11"/>
  <c r="E26" i="11"/>
  <c r="M25" i="11"/>
  <c r="L25" i="11"/>
  <c r="J25" i="11"/>
  <c r="I25" i="11"/>
  <c r="H25" i="11"/>
  <c r="G25" i="11"/>
  <c r="F25" i="11"/>
  <c r="E25" i="11"/>
  <c r="M24" i="11"/>
  <c r="L24" i="11"/>
  <c r="J24" i="11"/>
  <c r="I24" i="11"/>
  <c r="H24" i="11"/>
  <c r="G24" i="11"/>
  <c r="F24" i="11"/>
  <c r="E24" i="11"/>
  <c r="M23" i="11"/>
  <c r="L23" i="11"/>
  <c r="J23" i="11"/>
  <c r="I23" i="11"/>
  <c r="H23" i="11"/>
  <c r="G23" i="11"/>
  <c r="F23" i="11"/>
  <c r="E23" i="11"/>
  <c r="M22" i="11"/>
  <c r="L22" i="11"/>
  <c r="J22" i="11"/>
  <c r="I22" i="11"/>
  <c r="H22" i="11"/>
  <c r="G22" i="11"/>
  <c r="F22" i="11"/>
  <c r="E22" i="11"/>
  <c r="M21" i="11"/>
  <c r="L21" i="11"/>
  <c r="J21" i="11"/>
  <c r="I21" i="11"/>
  <c r="H21" i="11"/>
  <c r="G21" i="11"/>
  <c r="F21" i="11"/>
  <c r="E21" i="11"/>
  <c r="M20" i="11"/>
  <c r="L20" i="11"/>
  <c r="J20" i="11"/>
  <c r="I20" i="11"/>
  <c r="H20" i="11"/>
  <c r="G20" i="11"/>
  <c r="F20" i="11"/>
  <c r="E20" i="11"/>
  <c r="M19" i="11"/>
  <c r="L19" i="11"/>
  <c r="J19" i="11"/>
  <c r="I19" i="11"/>
  <c r="H19" i="11"/>
  <c r="G19" i="11"/>
  <c r="F19" i="11"/>
  <c r="E19" i="11"/>
  <c r="M18" i="11"/>
  <c r="L18" i="11"/>
  <c r="J18" i="11"/>
  <c r="I18" i="11"/>
  <c r="H18" i="11"/>
  <c r="G18" i="11"/>
  <c r="F18" i="11"/>
  <c r="E18" i="11"/>
  <c r="M17" i="11"/>
  <c r="L17" i="11"/>
  <c r="J17" i="11"/>
  <c r="I17" i="11"/>
  <c r="H17" i="11"/>
  <c r="G17" i="11"/>
  <c r="F17" i="11"/>
  <c r="E17" i="11"/>
  <c r="M16" i="11"/>
  <c r="L16" i="11"/>
  <c r="J16" i="11"/>
  <c r="I16" i="11"/>
  <c r="H16" i="11"/>
  <c r="G16" i="11"/>
  <c r="F16" i="11"/>
  <c r="E16" i="11"/>
  <c r="M15" i="11"/>
  <c r="L15" i="11"/>
  <c r="J15" i="11"/>
  <c r="I15" i="11"/>
  <c r="H15" i="11"/>
  <c r="G15" i="11"/>
  <c r="F15" i="11"/>
  <c r="E15" i="11"/>
  <c r="M14" i="11"/>
  <c r="L14" i="11"/>
  <c r="J14" i="11"/>
  <c r="I14" i="11"/>
  <c r="H14" i="11"/>
  <c r="G14" i="11"/>
  <c r="F14" i="11"/>
  <c r="E14" i="11"/>
  <c r="M13" i="11"/>
  <c r="L13" i="11"/>
  <c r="J13" i="11"/>
  <c r="I13" i="11"/>
  <c r="H13" i="11"/>
  <c r="G13" i="11"/>
  <c r="F13" i="11"/>
  <c r="E13" i="11"/>
  <c r="M12" i="11"/>
  <c r="L12" i="11"/>
  <c r="J12" i="11"/>
  <c r="I12" i="11"/>
  <c r="H12" i="11"/>
  <c r="G12" i="11"/>
  <c r="F12" i="11"/>
  <c r="E12" i="11"/>
  <c r="M11" i="11"/>
  <c r="L11" i="11"/>
  <c r="J11" i="11"/>
  <c r="I11" i="11"/>
  <c r="H11" i="11"/>
  <c r="G11" i="11"/>
  <c r="F11" i="11"/>
  <c r="E11" i="11"/>
  <c r="M10" i="11"/>
  <c r="L10" i="11"/>
  <c r="J10" i="11"/>
  <c r="I10" i="11"/>
  <c r="H10" i="11"/>
  <c r="G10" i="11"/>
  <c r="F10" i="11"/>
  <c r="E10" i="11"/>
  <c r="M9" i="11"/>
  <c r="L9" i="11"/>
  <c r="J9" i="11"/>
  <c r="I9" i="11"/>
  <c r="H9" i="11"/>
  <c r="G9" i="11"/>
  <c r="F9" i="11"/>
  <c r="E9" i="11"/>
  <c r="M8" i="11"/>
  <c r="L8" i="11"/>
  <c r="J8" i="11"/>
  <c r="I8" i="11"/>
  <c r="H8" i="11"/>
  <c r="G8" i="11"/>
  <c r="F8" i="11"/>
  <c r="E8" i="11"/>
  <c r="M7" i="11"/>
  <c r="L7" i="11"/>
  <c r="J7" i="11"/>
  <c r="I7" i="11"/>
  <c r="H7" i="11"/>
  <c r="G7" i="11"/>
  <c r="F7" i="11"/>
  <c r="E7" i="11"/>
  <c r="M6" i="11"/>
  <c r="L6" i="11"/>
  <c r="J6" i="11"/>
  <c r="I6" i="11"/>
  <c r="H6" i="11"/>
  <c r="G6" i="11"/>
  <c r="F6" i="11"/>
  <c r="E6" i="11"/>
  <c r="M5" i="11"/>
  <c r="M36" i="11" s="1"/>
  <c r="L5" i="11"/>
  <c r="J5" i="11"/>
  <c r="I5" i="11"/>
  <c r="H5" i="11"/>
  <c r="G5" i="11"/>
  <c r="F5" i="11"/>
  <c r="E5" i="11"/>
  <c r="L4" i="11"/>
  <c r="K4" i="11"/>
  <c r="L36" i="11" s="1"/>
  <c r="J4" i="11"/>
  <c r="I4" i="11"/>
  <c r="H4" i="11"/>
  <c r="G4" i="11"/>
  <c r="F4" i="11"/>
  <c r="E4" i="11"/>
  <c r="J38" i="4"/>
  <c r="I38" i="4"/>
  <c r="H38" i="4"/>
  <c r="G38" i="4"/>
  <c r="F38" i="4"/>
  <c r="E38" i="4"/>
  <c r="J37" i="4"/>
  <c r="I37" i="4"/>
  <c r="H37" i="4"/>
  <c r="G37" i="4"/>
  <c r="F37" i="4"/>
  <c r="E37" i="4"/>
  <c r="J36" i="4"/>
  <c r="I36" i="4"/>
  <c r="H36" i="4"/>
  <c r="G36" i="4"/>
  <c r="F36" i="4"/>
  <c r="E36" i="4"/>
  <c r="J35" i="4"/>
  <c r="I35" i="4"/>
  <c r="H35" i="4"/>
  <c r="G35" i="4"/>
  <c r="F35" i="4"/>
  <c r="E35" i="4"/>
  <c r="J34" i="4"/>
  <c r="I34" i="4"/>
  <c r="H34" i="4"/>
  <c r="G34" i="4"/>
  <c r="F34" i="4"/>
  <c r="E34" i="4"/>
  <c r="J33" i="4"/>
  <c r="I33" i="4"/>
  <c r="H33" i="4"/>
  <c r="G33" i="4"/>
  <c r="F33" i="4"/>
  <c r="E33" i="4"/>
  <c r="J32" i="4"/>
  <c r="I32" i="4"/>
  <c r="H32" i="4"/>
  <c r="G32" i="4"/>
  <c r="F32" i="4"/>
  <c r="E32" i="4"/>
  <c r="J31" i="4"/>
  <c r="I31" i="4"/>
  <c r="H31" i="4"/>
  <c r="G31" i="4"/>
  <c r="F31" i="4"/>
  <c r="E31" i="4"/>
  <c r="J30" i="4"/>
  <c r="I30" i="4"/>
  <c r="H30" i="4"/>
  <c r="G30" i="4"/>
  <c r="F30" i="4"/>
  <c r="E30" i="4"/>
  <c r="J29" i="4"/>
  <c r="I29" i="4"/>
  <c r="H29" i="4"/>
  <c r="G29" i="4"/>
  <c r="F29" i="4"/>
  <c r="E29" i="4"/>
  <c r="J28" i="4"/>
  <c r="I28" i="4"/>
  <c r="H28" i="4"/>
  <c r="G28" i="4"/>
  <c r="F28" i="4"/>
  <c r="E28" i="4"/>
  <c r="J27" i="4"/>
  <c r="I27" i="4"/>
  <c r="H27" i="4"/>
  <c r="G27" i="4"/>
  <c r="F27" i="4"/>
  <c r="E27" i="4"/>
  <c r="J26" i="4"/>
  <c r="I26" i="4"/>
  <c r="H26" i="4"/>
  <c r="G26" i="4"/>
  <c r="F26" i="4"/>
  <c r="E26" i="4"/>
  <c r="J25" i="4"/>
  <c r="I25" i="4"/>
  <c r="H25" i="4"/>
  <c r="G25" i="4"/>
  <c r="F25" i="4"/>
  <c r="E25" i="4"/>
  <c r="J24" i="4"/>
  <c r="I24" i="4"/>
  <c r="H24" i="4"/>
  <c r="G24" i="4"/>
  <c r="F24" i="4"/>
  <c r="E24" i="4"/>
  <c r="J23" i="4"/>
  <c r="I23" i="4"/>
  <c r="H23" i="4"/>
  <c r="G23" i="4"/>
  <c r="F23" i="4"/>
  <c r="E23" i="4"/>
  <c r="J22" i="4"/>
  <c r="I22" i="4"/>
  <c r="H22" i="4"/>
  <c r="G22" i="4"/>
  <c r="F22" i="4"/>
  <c r="E22" i="4"/>
  <c r="J21" i="4"/>
  <c r="I21" i="4"/>
  <c r="H21" i="4"/>
  <c r="G21" i="4"/>
  <c r="F21" i="4"/>
  <c r="E21" i="4"/>
  <c r="J20" i="4"/>
  <c r="I20" i="4"/>
  <c r="H20" i="4"/>
  <c r="G20" i="4"/>
  <c r="F20" i="4"/>
  <c r="E20" i="4"/>
  <c r="J19" i="4"/>
  <c r="I19" i="4"/>
  <c r="H19" i="4"/>
  <c r="G19" i="4"/>
  <c r="F19" i="4"/>
  <c r="E19" i="4"/>
  <c r="J18" i="4"/>
  <c r="I18" i="4"/>
  <c r="H18" i="4"/>
  <c r="G18" i="4"/>
  <c r="F18" i="4"/>
  <c r="E18" i="4"/>
  <c r="J17" i="4"/>
  <c r="I17" i="4"/>
  <c r="H17" i="4"/>
  <c r="G17" i="4"/>
  <c r="F17" i="4"/>
  <c r="E17" i="4"/>
  <c r="J16" i="4"/>
  <c r="I16" i="4"/>
  <c r="H16" i="4"/>
  <c r="G16" i="4"/>
  <c r="F16" i="4"/>
  <c r="E16" i="4"/>
  <c r="J15" i="4"/>
  <c r="I15" i="4"/>
  <c r="H15" i="4"/>
  <c r="G15" i="4"/>
  <c r="F15" i="4"/>
  <c r="E15" i="4"/>
  <c r="J14" i="4"/>
  <c r="I14" i="4"/>
  <c r="H14" i="4"/>
  <c r="G14" i="4"/>
  <c r="F14" i="4"/>
  <c r="E14" i="4"/>
  <c r="J13" i="4"/>
  <c r="I13" i="4"/>
  <c r="H13" i="4"/>
  <c r="G13" i="4"/>
  <c r="F13" i="4"/>
  <c r="E13" i="4"/>
  <c r="B4" i="2"/>
  <c r="G12" i="4" s="1"/>
  <c r="J7" i="4" l="1"/>
  <c r="J9" i="4"/>
  <c r="J11" i="4"/>
  <c r="E4" i="4"/>
  <c r="I4" i="4"/>
  <c r="E6" i="4"/>
  <c r="I6" i="4"/>
  <c r="G7" i="4"/>
  <c r="E8" i="4"/>
  <c r="I8" i="4"/>
  <c r="G9" i="4"/>
  <c r="E10" i="4"/>
  <c r="I10" i="4"/>
  <c r="G11" i="4"/>
  <c r="E12" i="4"/>
  <c r="I12" i="4"/>
  <c r="H4" i="4"/>
  <c r="H6" i="4"/>
  <c r="H8" i="4"/>
  <c r="H10" i="4"/>
  <c r="H12" i="4"/>
  <c r="F4" i="4"/>
  <c r="J4" i="4"/>
  <c r="F6" i="4"/>
  <c r="J6" i="4"/>
  <c r="H7" i="4"/>
  <c r="F8" i="4"/>
  <c r="J8" i="4"/>
  <c r="H9" i="4"/>
  <c r="F10" i="4"/>
  <c r="J10" i="4"/>
  <c r="H11" i="4"/>
  <c r="F12" i="4"/>
  <c r="J12" i="4"/>
  <c r="F7" i="4"/>
  <c r="F9" i="4"/>
  <c r="F11" i="4"/>
  <c r="G4" i="4"/>
  <c r="G6" i="4"/>
  <c r="E7" i="4"/>
  <c r="I7" i="4"/>
  <c r="G8" i="4"/>
  <c r="E9" i="4"/>
  <c r="I9" i="4"/>
  <c r="G10" i="4"/>
  <c r="E11" i="4"/>
  <c r="I11" i="4"/>
  <c r="C2" i="14"/>
  <c r="C2" i="13"/>
  <c r="C2" i="12"/>
  <c r="C2" i="11"/>
  <c r="C5" i="11"/>
  <c r="C2" i="4"/>
  <c r="C5" i="14"/>
  <c r="C5" i="13"/>
  <c r="C5" i="12"/>
  <c r="C5" i="4"/>
  <c r="L5" i="4" s="1"/>
  <c r="C4" i="4"/>
  <c r="I5" i="4" l="1"/>
  <c r="E5" i="4"/>
  <c r="G5" i="4"/>
  <c r="F5" i="4"/>
  <c r="H5" i="4"/>
  <c r="J5" i="4"/>
  <c r="Q8" i="8"/>
  <c r="Q7" i="8"/>
  <c r="Q6" i="8"/>
  <c r="Q5" i="8"/>
  <c r="Q4" i="8"/>
  <c r="S35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 l="1"/>
  <c r="Y39" i="1" l="1"/>
  <c r="Y38" i="1"/>
  <c r="Y37" i="1"/>
  <c r="Y36" i="1"/>
  <c r="Y35" i="1"/>
  <c r="Y34" i="1"/>
  <c r="Y33" i="1"/>
  <c r="Y32" i="1"/>
  <c r="Y31" i="1"/>
  <c r="Y30" i="1"/>
  <c r="Y29" i="1"/>
  <c r="Y28" i="1"/>
  <c r="Y27" i="1"/>
  <c r="Y44" i="1"/>
  <c r="Y43" i="1"/>
  <c r="Y42" i="1"/>
  <c r="Y41" i="1"/>
  <c r="Y40" i="1"/>
  <c r="Y26" i="1"/>
  <c r="Y25" i="1"/>
  <c r="Y24" i="1"/>
  <c r="Y14" i="1"/>
  <c r="Y13" i="1"/>
  <c r="Y12" i="1"/>
  <c r="Y11" i="1"/>
  <c r="Y10" i="1"/>
  <c r="Y9" i="1"/>
  <c r="Y8" i="1"/>
  <c r="Y7" i="1"/>
  <c r="Y6" i="1"/>
  <c r="Y5" i="1"/>
  <c r="Y23" i="1"/>
  <c r="Y22" i="1"/>
  <c r="Y21" i="1"/>
  <c r="Y20" i="1"/>
  <c r="Y19" i="1"/>
  <c r="Y18" i="1"/>
  <c r="Y17" i="1"/>
  <c r="Y16" i="1"/>
  <c r="Y15" i="1"/>
  <c r="O38" i="1"/>
  <c r="O31" i="1"/>
  <c r="O36" i="1" l="1"/>
  <c r="L4" i="4" l="1"/>
  <c r="N38" i="14"/>
  <c r="N37" i="14"/>
  <c r="N36" i="14"/>
  <c r="N35" i="14"/>
  <c r="N34" i="14"/>
  <c r="N33" i="14"/>
  <c r="N32" i="14"/>
  <c r="N31" i="14"/>
  <c r="N30" i="14"/>
  <c r="N29" i="14"/>
  <c r="N28" i="14"/>
  <c r="N27" i="14"/>
  <c r="N26" i="14"/>
  <c r="N25" i="14"/>
  <c r="N24" i="14"/>
  <c r="N23" i="14"/>
  <c r="N22" i="14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4" i="14"/>
  <c r="N38" i="13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4" i="13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4" i="12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19" i="11"/>
  <c r="N18" i="11"/>
  <c r="N17" i="11"/>
  <c r="N16" i="11"/>
  <c r="N15" i="11"/>
  <c r="N14" i="11"/>
  <c r="N13" i="11"/>
  <c r="N12" i="11"/>
  <c r="N11" i="11"/>
  <c r="N10" i="11"/>
  <c r="N9" i="11"/>
  <c r="N8" i="11"/>
  <c r="N7" i="11"/>
  <c r="N6" i="11"/>
  <c r="N4" i="11"/>
  <c r="N4" i="4" l="1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Q26" i="1" l="1"/>
  <c r="X26" i="1" s="1"/>
  <c r="K4" i="4"/>
  <c r="L36" i="4" s="1"/>
  <c r="C4" i="14"/>
  <c r="C4" i="13"/>
  <c r="C4" i="12"/>
  <c r="C4" i="11"/>
  <c r="S5" i="11" l="1"/>
  <c r="T5" i="11" s="1"/>
  <c r="S5" i="4"/>
  <c r="T5" i="4" s="1"/>
  <c r="N5" i="14" l="1"/>
  <c r="S5" i="14"/>
  <c r="T5" i="14" s="1"/>
  <c r="S5" i="13"/>
  <c r="T5" i="13" s="1"/>
  <c r="S5" i="12"/>
  <c r="T5" i="12" s="1"/>
  <c r="N5" i="12"/>
  <c r="N5" i="11"/>
  <c r="N5" i="4"/>
  <c r="M5" i="4"/>
  <c r="M36" i="4" s="1"/>
  <c r="N5" i="13"/>
  <c r="N39" i="13" s="1"/>
  <c r="B8" i="8"/>
  <c r="B18" i="8" s="1"/>
  <c r="B7" i="8"/>
  <c r="B17" i="8" s="1"/>
  <c r="B6" i="8"/>
  <c r="B16" i="8" s="1"/>
  <c r="B5" i="8"/>
  <c r="B15" i="8" s="1"/>
  <c r="B4" i="8"/>
  <c r="B14" i="8" s="1"/>
  <c r="R38" i="14"/>
  <c r="R37" i="14"/>
  <c r="R36" i="14"/>
  <c r="R38" i="13"/>
  <c r="R37" i="13"/>
  <c r="R36" i="13"/>
  <c r="R38" i="12"/>
  <c r="R37" i="12"/>
  <c r="R36" i="12"/>
  <c r="R38" i="11"/>
  <c r="R37" i="11"/>
  <c r="R36" i="11"/>
  <c r="Q21" i="1"/>
  <c r="Q22" i="1"/>
  <c r="Q23" i="1"/>
  <c r="O37" i="1"/>
  <c r="M8" i="4"/>
  <c r="M7" i="4"/>
  <c r="M6" i="4"/>
  <c r="L38" i="4"/>
  <c r="L37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S43" i="1"/>
  <c r="Q34" i="14" s="1"/>
  <c r="S42" i="1"/>
  <c r="Q33" i="13" s="1"/>
  <c r="S41" i="1"/>
  <c r="Q32" i="11" s="1"/>
  <c r="S44" i="1"/>
  <c r="Q35" i="13" s="1"/>
  <c r="S40" i="1"/>
  <c r="Q31" i="13" s="1"/>
  <c r="O34" i="1"/>
  <c r="O33" i="1"/>
  <c r="O28" i="1"/>
  <c r="O29" i="1"/>
  <c r="O30" i="1"/>
  <c r="Q25" i="1"/>
  <c r="W25" i="1" s="1"/>
  <c r="Q20" i="1"/>
  <c r="Q19" i="1"/>
  <c r="Q17" i="1"/>
  <c r="Q16" i="1"/>
  <c r="Q24" i="1"/>
  <c r="Q18" i="1"/>
  <c r="Q15" i="1"/>
  <c r="O39" i="1"/>
  <c r="O35" i="1"/>
  <c r="O32" i="1"/>
  <c r="O27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R36" i="4"/>
  <c r="M37" i="4"/>
  <c r="R37" i="4"/>
  <c r="M38" i="4"/>
  <c r="R38" i="4"/>
  <c r="N39" i="14" l="1"/>
  <c r="L8" i="8" s="1"/>
  <c r="C18" i="8" s="1"/>
  <c r="N39" i="12"/>
  <c r="L6" i="8" s="1"/>
  <c r="C16" i="8" s="1"/>
  <c r="N39" i="11"/>
  <c r="L5" i="8" s="1"/>
  <c r="C15" i="8" s="1"/>
  <c r="N39" i="4"/>
  <c r="L4" i="8" s="1"/>
  <c r="C14" i="8" s="1"/>
  <c r="L7" i="8"/>
  <c r="C17" i="8" s="1"/>
  <c r="O26" i="4"/>
  <c r="W35" i="1"/>
  <c r="V35" i="1"/>
  <c r="X35" i="1"/>
  <c r="X20" i="1"/>
  <c r="W20" i="1"/>
  <c r="V20" i="1"/>
  <c r="X38" i="1"/>
  <c r="W38" i="1"/>
  <c r="V38" i="1"/>
  <c r="O29" i="4"/>
  <c r="O21" i="13"/>
  <c r="X30" i="1"/>
  <c r="W30" i="1"/>
  <c r="V30" i="1"/>
  <c r="P15" i="14"/>
  <c r="V24" i="1"/>
  <c r="W28" i="1"/>
  <c r="V28" i="1"/>
  <c r="X28" i="1"/>
  <c r="P12" i="11"/>
  <c r="W21" i="1"/>
  <c r="V21" i="1"/>
  <c r="X21" i="1"/>
  <c r="W27" i="1"/>
  <c r="V27" i="1"/>
  <c r="X27" i="1"/>
  <c r="W39" i="1"/>
  <c r="V39" i="1"/>
  <c r="X39" i="1"/>
  <c r="P7" i="4"/>
  <c r="X16" i="1"/>
  <c r="W16" i="1"/>
  <c r="V16" i="1"/>
  <c r="O24" i="12"/>
  <c r="V33" i="1"/>
  <c r="X33" i="1"/>
  <c r="W33" i="1"/>
  <c r="O28" i="13"/>
  <c r="V37" i="1"/>
  <c r="X37" i="1"/>
  <c r="W37" i="1"/>
  <c r="W31" i="1"/>
  <c r="V31" i="1"/>
  <c r="X31" i="1"/>
  <c r="V15" i="1"/>
  <c r="X15" i="1"/>
  <c r="W15" i="1"/>
  <c r="W17" i="1"/>
  <c r="V17" i="1"/>
  <c r="X17" i="1"/>
  <c r="O25" i="4"/>
  <c r="X34" i="1"/>
  <c r="W34" i="1"/>
  <c r="V34" i="1"/>
  <c r="P14" i="12"/>
  <c r="V23" i="1"/>
  <c r="X23" i="1"/>
  <c r="W23" i="1"/>
  <c r="W32" i="1"/>
  <c r="V32" i="1"/>
  <c r="X32" i="1"/>
  <c r="P9" i="12"/>
  <c r="W18" i="1"/>
  <c r="V18" i="1"/>
  <c r="X18" i="1"/>
  <c r="P10" i="13"/>
  <c r="V19" i="1"/>
  <c r="X19" i="1"/>
  <c r="W19" i="1"/>
  <c r="V29" i="1"/>
  <c r="X29" i="1"/>
  <c r="W29" i="1"/>
  <c r="O27" i="14"/>
  <c r="W36" i="1"/>
  <c r="V36" i="1"/>
  <c r="X36" i="1"/>
  <c r="P13" i="13"/>
  <c r="W22" i="1"/>
  <c r="V22" i="1"/>
  <c r="X22" i="1"/>
  <c r="O22" i="11"/>
  <c r="O21" i="4"/>
  <c r="O24" i="4"/>
  <c r="O27" i="4"/>
  <c r="P9" i="4"/>
  <c r="O27" i="11"/>
  <c r="P10" i="12"/>
  <c r="O27" i="12"/>
  <c r="O28" i="12"/>
  <c r="O26" i="11"/>
  <c r="O26" i="12"/>
  <c r="P13" i="4"/>
  <c r="U15" i="1"/>
  <c r="P13" i="12"/>
  <c r="P10" i="11"/>
  <c r="U26" i="1"/>
  <c r="O23" i="11"/>
  <c r="Q33" i="12"/>
  <c r="P17" i="13"/>
  <c r="Q33" i="14"/>
  <c r="Q35" i="12"/>
  <c r="O23" i="14"/>
  <c r="Q35" i="4"/>
  <c r="O18" i="12"/>
  <c r="O24" i="14"/>
  <c r="Q35" i="14"/>
  <c r="O18" i="4"/>
  <c r="P6" i="4"/>
  <c r="P15" i="4"/>
  <c r="Q33" i="4"/>
  <c r="P6" i="11"/>
  <c r="P16" i="13"/>
  <c r="U25" i="1"/>
  <c r="P14" i="14"/>
  <c r="U23" i="1"/>
  <c r="P12" i="14"/>
  <c r="P14" i="4"/>
  <c r="O25" i="14"/>
  <c r="U34" i="1"/>
  <c r="P16" i="11"/>
  <c r="O25" i="11"/>
  <c r="Q32" i="13"/>
  <c r="P16" i="4"/>
  <c r="P10" i="14"/>
  <c r="U19" i="1"/>
  <c r="P6" i="12"/>
  <c r="U17" i="1"/>
  <c r="O20" i="13"/>
  <c r="U29" i="1"/>
  <c r="O29" i="12"/>
  <c r="U38" i="1"/>
  <c r="P12" i="13"/>
  <c r="U21" i="1"/>
  <c r="P12" i="4"/>
  <c r="O18" i="14"/>
  <c r="U27" i="1"/>
  <c r="O23" i="13"/>
  <c r="U32" i="1"/>
  <c r="P15" i="11"/>
  <c r="U24" i="1"/>
  <c r="O19" i="13"/>
  <c r="U28" i="1"/>
  <c r="O23" i="12"/>
  <c r="O18" i="13"/>
  <c r="O26" i="14"/>
  <c r="U35" i="1"/>
  <c r="O28" i="11"/>
  <c r="U37" i="1"/>
  <c r="P13" i="11"/>
  <c r="U22" i="1"/>
  <c r="O18" i="11"/>
  <c r="Q33" i="11"/>
  <c r="P6" i="13"/>
  <c r="P14" i="13"/>
  <c r="P6" i="14"/>
  <c r="P16" i="14"/>
  <c r="O28" i="4"/>
  <c r="P10" i="4"/>
  <c r="O23" i="4"/>
  <c r="O22" i="14"/>
  <c r="U31" i="1"/>
  <c r="U39" i="1"/>
  <c r="P9" i="11"/>
  <c r="U18" i="1"/>
  <c r="P7" i="12"/>
  <c r="U16" i="1"/>
  <c r="P11" i="11"/>
  <c r="U20" i="1"/>
  <c r="O21" i="12"/>
  <c r="U30" i="1"/>
  <c r="O24" i="11"/>
  <c r="U33" i="1"/>
  <c r="O27" i="13"/>
  <c r="U36" i="1"/>
  <c r="Q32" i="4"/>
  <c r="Q34" i="4"/>
  <c r="P14" i="11"/>
  <c r="P12" i="12"/>
  <c r="O21" i="11"/>
  <c r="Q35" i="11"/>
  <c r="P15" i="12"/>
  <c r="Q32" i="12"/>
  <c r="P9" i="13"/>
  <c r="P15" i="13"/>
  <c r="O24" i="13"/>
  <c r="P7" i="14"/>
  <c r="O19" i="14"/>
  <c r="Q31" i="14"/>
  <c r="P11" i="4"/>
  <c r="L39" i="11"/>
  <c r="P8" i="13"/>
  <c r="P8" i="4"/>
  <c r="P8" i="11"/>
  <c r="P8" i="14"/>
  <c r="O30" i="14"/>
  <c r="O30" i="12"/>
  <c r="O30" i="4"/>
  <c r="O30" i="13"/>
  <c r="O30" i="11"/>
  <c r="P17" i="12"/>
  <c r="P17" i="4"/>
  <c r="P17" i="14"/>
  <c r="P17" i="11"/>
  <c r="M39" i="11"/>
  <c r="K5" i="8" s="1"/>
  <c r="P11" i="12"/>
  <c r="P11" i="13"/>
  <c r="O20" i="4"/>
  <c r="O20" i="12"/>
  <c r="O20" i="14"/>
  <c r="O20" i="11"/>
  <c r="P8" i="12"/>
  <c r="M39" i="12"/>
  <c r="K6" i="8" s="1"/>
  <c r="P11" i="14"/>
  <c r="O19" i="12"/>
  <c r="O25" i="13"/>
  <c r="Q34" i="12"/>
  <c r="O22" i="13"/>
  <c r="O26" i="13"/>
  <c r="Q34" i="13"/>
  <c r="P13" i="14"/>
  <c r="P7" i="11"/>
  <c r="L39" i="12"/>
  <c r="O29" i="13"/>
  <c r="O28" i="14"/>
  <c r="Q32" i="14"/>
  <c r="O22" i="4"/>
  <c r="O22" i="12"/>
  <c r="Q31" i="4"/>
  <c r="Q31" i="11"/>
  <c r="Q34" i="11"/>
  <c r="P16" i="12"/>
  <c r="O25" i="12"/>
  <c r="P7" i="13"/>
  <c r="P9" i="14"/>
  <c r="O21" i="14"/>
  <c r="O29" i="14"/>
  <c r="O29" i="11"/>
  <c r="O19" i="4"/>
  <c r="O19" i="11"/>
  <c r="Q31" i="12"/>
  <c r="L39" i="14"/>
  <c r="L39" i="13"/>
  <c r="M39" i="13"/>
  <c r="K7" i="8" s="1"/>
  <c r="M39" i="14"/>
  <c r="K8" i="8" s="1"/>
  <c r="M39" i="4"/>
  <c r="K4" i="8" s="1"/>
  <c r="L39" i="4"/>
  <c r="I39" i="14" l="1"/>
  <c r="G8" i="8" s="1"/>
  <c r="H18" i="8" s="1"/>
  <c r="H39" i="14"/>
  <c r="F8" i="8" s="1"/>
  <c r="G18" i="8" s="1"/>
  <c r="I39" i="13"/>
  <c r="G7" i="8" s="1"/>
  <c r="H17" i="8" s="1"/>
  <c r="G39" i="13"/>
  <c r="E7" i="8" s="1"/>
  <c r="F17" i="8" s="1"/>
  <c r="H39" i="13"/>
  <c r="F7" i="8" s="1"/>
  <c r="G17" i="8" s="1"/>
  <c r="F39" i="12"/>
  <c r="D6" i="8" s="1"/>
  <c r="E16" i="8" s="1"/>
  <c r="G39" i="12"/>
  <c r="E6" i="8" s="1"/>
  <c r="F16" i="8" s="1"/>
  <c r="E39" i="12"/>
  <c r="C6" i="8" s="1"/>
  <c r="D16" i="8" s="1"/>
  <c r="J39" i="12"/>
  <c r="H6" i="8" s="1"/>
  <c r="I16" i="8" s="1"/>
  <c r="G39" i="11"/>
  <c r="E5" i="8" s="1"/>
  <c r="F15" i="8" s="1"/>
  <c r="E39" i="11"/>
  <c r="C5" i="8" s="1"/>
  <c r="D15" i="8" s="1"/>
  <c r="F39" i="11"/>
  <c r="D5" i="8" s="1"/>
  <c r="E15" i="8" s="1"/>
  <c r="I39" i="11"/>
  <c r="G5" i="8" s="1"/>
  <c r="H15" i="8" s="1"/>
  <c r="G39" i="4"/>
  <c r="E4" i="8" s="1"/>
  <c r="F14" i="8" s="1"/>
  <c r="I39" i="12"/>
  <c r="G6" i="8" s="1"/>
  <c r="H16" i="8" s="1"/>
  <c r="J39" i="11"/>
  <c r="H5" i="8" s="1"/>
  <c r="I15" i="8" s="1"/>
  <c r="H39" i="11"/>
  <c r="F5" i="8" s="1"/>
  <c r="G15" i="8" s="1"/>
  <c r="G39" i="14"/>
  <c r="E8" i="8" s="1"/>
  <c r="F18" i="8" s="1"/>
  <c r="H39" i="12"/>
  <c r="F6" i="8" s="1"/>
  <c r="G16" i="8" s="1"/>
  <c r="J39" i="14"/>
  <c r="H8" i="8" s="1"/>
  <c r="I18" i="8" s="1"/>
  <c r="E39" i="4"/>
  <c r="C4" i="8" s="1"/>
  <c r="D14" i="8" s="1"/>
  <c r="F39" i="13"/>
  <c r="D7" i="8" s="1"/>
  <c r="E17" i="8" s="1"/>
  <c r="I39" i="4"/>
  <c r="G4" i="8" s="1"/>
  <c r="H14" i="8" s="1"/>
  <c r="E39" i="14"/>
  <c r="C8" i="8" s="1"/>
  <c r="D18" i="8" s="1"/>
  <c r="H39" i="4"/>
  <c r="F4" i="8" s="1"/>
  <c r="G14" i="8" s="1"/>
  <c r="F39" i="4"/>
  <c r="D4" i="8" s="1"/>
  <c r="E14" i="8" s="1"/>
  <c r="E39" i="13"/>
  <c r="C7" i="8" s="1"/>
  <c r="D17" i="8" s="1"/>
  <c r="F39" i="14"/>
  <c r="D8" i="8" s="1"/>
  <c r="E18" i="8" s="1"/>
  <c r="J39" i="13"/>
  <c r="H7" i="8" s="1"/>
  <c r="I17" i="8" s="1"/>
  <c r="J39" i="4"/>
  <c r="H4" i="8" s="1"/>
  <c r="I14" i="8" s="1"/>
  <c r="Q39" i="4"/>
  <c r="O4" i="8" s="1"/>
  <c r="L14" i="8" s="1"/>
  <c r="Q39" i="14"/>
  <c r="O8" i="8" s="1"/>
  <c r="L18" i="8" s="1"/>
  <c r="O39" i="13"/>
  <c r="M7" i="8" s="1"/>
  <c r="J17" i="8" s="1"/>
  <c r="K39" i="4"/>
  <c r="K39" i="13"/>
  <c r="P39" i="4"/>
  <c r="N4" i="8" s="1"/>
  <c r="K14" i="8" s="1"/>
  <c r="K39" i="14"/>
  <c r="J5" i="8"/>
  <c r="K39" i="11"/>
  <c r="K39" i="12"/>
  <c r="Q39" i="13"/>
  <c r="O7" i="8" s="1"/>
  <c r="L17" i="8" s="1"/>
  <c r="O39" i="12"/>
  <c r="M6" i="8" s="1"/>
  <c r="J16" i="8" s="1"/>
  <c r="P39" i="12"/>
  <c r="N6" i="8" s="1"/>
  <c r="K16" i="8" s="1"/>
  <c r="O39" i="11"/>
  <c r="M5" i="8" s="1"/>
  <c r="J15" i="8" s="1"/>
  <c r="O39" i="4"/>
  <c r="M4" i="8" s="1"/>
  <c r="J14" i="8" s="1"/>
  <c r="J6" i="8"/>
  <c r="P39" i="14"/>
  <c r="N8" i="8" s="1"/>
  <c r="K18" i="8" s="1"/>
  <c r="P39" i="13"/>
  <c r="N7" i="8" s="1"/>
  <c r="K17" i="8" s="1"/>
  <c r="Q39" i="11"/>
  <c r="O5" i="8" s="1"/>
  <c r="L15" i="8" s="1"/>
  <c r="O39" i="14"/>
  <c r="M8" i="8" s="1"/>
  <c r="J18" i="8" s="1"/>
  <c r="P39" i="11"/>
  <c r="N5" i="8" s="1"/>
  <c r="K15" i="8" s="1"/>
  <c r="Q39" i="12"/>
  <c r="O6" i="8" s="1"/>
  <c r="L16" i="8" s="1"/>
  <c r="J7" i="8"/>
  <c r="J8" i="8"/>
  <c r="J4" i="8"/>
  <c r="I8" i="8" l="1"/>
  <c r="R39" i="14"/>
  <c r="P8" i="8" s="1"/>
  <c r="I7" i="8"/>
  <c r="R39" i="13"/>
  <c r="P7" i="8" s="1"/>
  <c r="I4" i="8"/>
  <c r="R39" i="4"/>
  <c r="P4" i="8" s="1"/>
  <c r="I6" i="8"/>
  <c r="R39" i="12"/>
  <c r="P6" i="8" s="1"/>
  <c r="I5" i="8"/>
  <c r="R39" i="11"/>
  <c r="P5" i="8" s="1"/>
  <c r="O18" i="8"/>
  <c r="O16" i="8"/>
  <c r="N17" i="8"/>
  <c r="N16" i="8"/>
  <c r="O17" i="8"/>
  <c r="O15" i="8"/>
  <c r="N15" i="8"/>
  <c r="O14" i="8"/>
  <c r="N18" i="8"/>
  <c r="N14" i="8"/>
  <c r="M18" i="8"/>
  <c r="M16" i="8"/>
  <c r="M14" i="8"/>
  <c r="M15" i="8"/>
  <c r="M17" i="8"/>
  <c r="Q15" i="8" l="1"/>
  <c r="Q14" i="8"/>
  <c r="Q16" i="8"/>
  <c r="Q18" i="8"/>
  <c r="Q17" i="8"/>
  <c r="P16" i="8"/>
  <c r="P17" i="8"/>
  <c r="P18" i="8"/>
  <c r="P15" i="8"/>
  <c r="P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Aring, Björn</author>
  </authors>
  <commentList>
    <comment ref="V1" authorId="0" shapeId="0" xr:uid="{89C1615F-FEFF-45F4-8607-B17FA3DB6510}">
      <text>
        <r>
          <rPr>
            <sz val="9"/>
            <color indexed="81"/>
            <rFont val="Segoe UI"/>
            <charset val="1"/>
          </rPr>
          <t>Für Nuk / Hyp Schiffe betrachtet, ohne Masse-Bonus</t>
        </r>
      </text>
    </comment>
    <comment ref="W1" authorId="0" shapeId="0" xr:uid="{A7AC35DF-D535-4035-870C-552E17E03AB6}">
      <text>
        <r>
          <rPr>
            <sz val="9"/>
            <color indexed="81"/>
            <rFont val="Segoe UI"/>
            <charset val="1"/>
          </rPr>
          <t>Für Nuk / Hyp Schiffe betrachtet, ohne Masse-Bonus</t>
        </r>
      </text>
    </comment>
    <comment ref="X1" authorId="0" shapeId="0" xr:uid="{773EBC9D-1463-4182-BAE0-48F5D563209A}">
      <text>
        <r>
          <rPr>
            <sz val="9"/>
            <color indexed="81"/>
            <rFont val="Segoe UI"/>
            <charset val="1"/>
          </rPr>
          <t>Für Nuk / Hyp Schiffe betrachtet, ohne Masse-Bonus</t>
        </r>
      </text>
    </comment>
  </commentList>
</comments>
</file>

<file path=xl/sharedStrings.xml><?xml version="1.0" encoding="utf-8"?>
<sst xmlns="http://schemas.openxmlformats.org/spreadsheetml/2006/main" count="726" uniqueCount="238">
  <si>
    <t>Kategorie</t>
  </si>
  <si>
    <t>Unterkategorie</t>
  </si>
  <si>
    <t>Komponente</t>
  </si>
  <si>
    <t>Fe</t>
  </si>
  <si>
    <t>Kris</t>
  </si>
  <si>
    <t>Frub</t>
  </si>
  <si>
    <t>Ori</t>
  </si>
  <si>
    <t>Fruro</t>
  </si>
  <si>
    <t>Gold</t>
  </si>
  <si>
    <t>Masse</t>
  </si>
  <si>
    <t>Energie</t>
  </si>
  <si>
    <t>Att</t>
  </si>
  <si>
    <t>Att mit Bonus</t>
  </si>
  <si>
    <t>Def</t>
  </si>
  <si>
    <t>Def mit Bonus</t>
  </si>
  <si>
    <t>Fracht</t>
  </si>
  <si>
    <t>Res Gesamt</t>
  </si>
  <si>
    <t>Att/Def pro Res</t>
  </si>
  <si>
    <t>Anzahl</t>
  </si>
  <si>
    <t>Rümpfe</t>
  </si>
  <si>
    <t>Leicht</t>
  </si>
  <si>
    <t>Mittel</t>
  </si>
  <si>
    <t>Schwer</t>
  </si>
  <si>
    <t>Antriebe</t>
  </si>
  <si>
    <t>Ion Leicht</t>
  </si>
  <si>
    <t>Ion Mittel</t>
  </si>
  <si>
    <t>Ion Schwer</t>
  </si>
  <si>
    <t>Nuk Leicht</t>
  </si>
  <si>
    <t>Nuk Mittel</t>
  </si>
  <si>
    <t>Nuk Schwer</t>
  </si>
  <si>
    <t>Hyp Leicht</t>
  </si>
  <si>
    <t>Hyp Mittel</t>
  </si>
  <si>
    <t>Hyp Schwer</t>
  </si>
  <si>
    <t>Gty Schwer</t>
  </si>
  <si>
    <t>Verteidigung</t>
  </si>
  <si>
    <t>Metall</t>
  </si>
  <si>
    <t>Leichtmetallpanzer M1</t>
  </si>
  <si>
    <t>Titanlegierung</t>
  </si>
  <si>
    <t>Thryacithpanzer</t>
  </si>
  <si>
    <t>Carbonpanzerungen</t>
  </si>
  <si>
    <t>Carbonschirm</t>
  </si>
  <si>
    <t>Carbonmantel</t>
  </si>
  <si>
    <t>Diamantpanzer</t>
  </si>
  <si>
    <t>Schilde</t>
  </si>
  <si>
    <t>Leichter Energieschild</t>
  </si>
  <si>
    <t>Mittlerer Energieschild</t>
  </si>
  <si>
    <t>Schwerer Energieschild</t>
  </si>
  <si>
    <t>Teleportverteidigung</t>
  </si>
  <si>
    <t>Defensiv-Teleporter T1</t>
  </si>
  <si>
    <t>Defensiv-Teleporter T2</t>
  </si>
  <si>
    <t>Defensiv-Teleporter T3</t>
  </si>
  <si>
    <t>Waffen</t>
  </si>
  <si>
    <t>Projektilwaffen</t>
  </si>
  <si>
    <t>Impulskanone</t>
  </si>
  <si>
    <t>Strahlenwaffen</t>
  </si>
  <si>
    <t>Leichte Strahlenkanone</t>
  </si>
  <si>
    <t>Mittlere Strahlenkanone</t>
  </si>
  <si>
    <t>Schwere Strahlenkanone</t>
  </si>
  <si>
    <t>Raketen</t>
  </si>
  <si>
    <t>Plasmawaffen</t>
  </si>
  <si>
    <t>Plasmakanone</t>
  </si>
  <si>
    <t>Plasmageschütz</t>
  </si>
  <si>
    <t>Plasmabatterie</t>
  </si>
  <si>
    <t>Hochexplosive Waffen</t>
  </si>
  <si>
    <t>HE-Rakete 'Spitfire'</t>
  </si>
  <si>
    <t>HE-Torpedo 'Inferno'</t>
  </si>
  <si>
    <t>Biologische Waffen</t>
  </si>
  <si>
    <t>Präzisionsrakete 'Virus'</t>
  </si>
  <si>
    <t>Torpedo 'Spider'</t>
  </si>
  <si>
    <t>Antimateriewaffen</t>
  </si>
  <si>
    <t>Antimaterie-Torpedo</t>
  </si>
  <si>
    <t>Laderaum-erweiterungen</t>
  </si>
  <si>
    <t>Ladebox</t>
  </si>
  <si>
    <t>Ladedock</t>
  </si>
  <si>
    <t>Frachtcontainer</t>
  </si>
  <si>
    <t>Frachtdeck</t>
  </si>
  <si>
    <t>Tragerdeck</t>
  </si>
  <si>
    <t>Sonstige Module</t>
  </si>
  <si>
    <t>Tarnvorrichtung</t>
  </si>
  <si>
    <t>Kolonisationsmodul</t>
  </si>
  <si>
    <t>Langstrecken-Kommunikationsmodul</t>
  </si>
  <si>
    <t>Gesamt</t>
  </si>
  <si>
    <t>Bonus</t>
  </si>
  <si>
    <t>Kosten</t>
  </si>
  <si>
    <t>Bauzeit</t>
  </si>
  <si>
    <t>Plasma</t>
  </si>
  <si>
    <t>Carbon</t>
  </si>
  <si>
    <t>Teleport</t>
  </si>
  <si>
    <t>Strahlen</t>
  </si>
  <si>
    <t>Terraner</t>
  </si>
  <si>
    <t>Noberianer</t>
  </si>
  <si>
    <t>Bugserianer</t>
  </si>
  <si>
    <t>Xianer</t>
  </si>
  <si>
    <t>Forschungen</t>
  </si>
  <si>
    <t>Stufe</t>
  </si>
  <si>
    <t>Antimaterietechnologie</t>
  </si>
  <si>
    <t>Biotechnologie</t>
  </si>
  <si>
    <t>Energiebundelung</t>
  </si>
  <si>
    <t>ErweiterteLegierungen</t>
  </si>
  <si>
    <t>ErweiterteSpionage</t>
  </si>
  <si>
    <t>Gravitationsantrieb</t>
  </si>
  <si>
    <t>HochexplosiveSubstanzen</t>
  </si>
  <si>
    <t>Hochtechnologie</t>
  </si>
  <si>
    <t>Hyperraumantrieb</t>
  </si>
  <si>
    <t>InterstellarerHandel</t>
  </si>
  <si>
    <t>Ionentriebwerke</t>
  </si>
  <si>
    <t>Ionisation</t>
  </si>
  <si>
    <t>Kolonieverwaltung</t>
  </si>
  <si>
    <t>Ladedocks</t>
  </si>
  <si>
    <t>Metallurgie</t>
  </si>
  <si>
    <t>MultiplesBauen</t>
  </si>
  <si>
    <t>NanoSynthese</t>
  </si>
  <si>
    <t>Nanotechnologie</t>
  </si>
  <si>
    <t>Nukleartriebwerke</t>
  </si>
  <si>
    <t>Plasmaforschung</t>
  </si>
  <si>
    <t>Raketenforschung</t>
  </si>
  <si>
    <t>Schiffskonstruktion</t>
  </si>
  <si>
    <t>Schildforschung</t>
  </si>
  <si>
    <t>Signalubertragung</t>
  </si>
  <si>
    <t>Spionage</t>
  </si>
  <si>
    <t>Strahlenforschung</t>
  </si>
  <si>
    <t>TaktischeKriegsfuhrung</t>
  </si>
  <si>
    <t>Tarntechnologie</t>
  </si>
  <si>
    <t>Teleporttechnologie</t>
  </si>
  <si>
    <t>Verbrennungstechnik</t>
  </si>
  <si>
    <t>Fracht mit Bonus</t>
  </si>
  <si>
    <t>Rasse</t>
  </si>
  <si>
    <t>Version</t>
  </si>
  <si>
    <t>Datum</t>
  </si>
  <si>
    <t>Beschreibung</t>
  </si>
  <si>
    <t>1.0</t>
  </si>
  <si>
    <t>Speed</t>
  </si>
  <si>
    <t>Rumpf</t>
  </si>
  <si>
    <t>Ion</t>
  </si>
  <si>
    <t>Nuk</t>
  </si>
  <si>
    <t>Hyp</t>
  </si>
  <si>
    <t>Gty</t>
  </si>
  <si>
    <t>Antrieb</t>
  </si>
  <si>
    <t>Name</t>
  </si>
  <si>
    <t>- Preis für Langstrecken-Kommunikationsmodul korrigiert
- Duplikat "Schildforschung" aus Forschungsübersicht entfernt und Verknüpfungen korrigiert
- Schiffdesign Template vervielfacht um mehrere Schiffe erstellen zu können
- Eingabefeld (grün) für Schiffsnamen zur eindeutigen Identifikation ergänzt
- Eindeutige Rumpf- und Antriebsauswahl ergänzt
- Eingabe-Felder gelb markiert !
- Geschwindigkeitsberechnung hinzugefügt
- Schiffsübersicht zum Vergleich der Designs hinzugefügt</t>
  </si>
  <si>
    <t>Schiffsdesign</t>
  </si>
  <si>
    <t>1.1</t>
  </si>
  <si>
    <t>Masse (frei)</t>
  </si>
  <si>
    <t>Energie (frei)</t>
  </si>
  <si>
    <t>- Bug in der Rumpf- und Antriebsauswahl behoben (aufgrund alter Excel-Datei --&gt; Konvertierung zu .xlsx)
- Hinweis wenn mehr als ein Rumpf / Antrieb ausgewählt wird
- Anzahl Schiffsdesigns von drei auf fünf erhöht</t>
  </si>
  <si>
    <t>1.2</t>
  </si>
  <si>
    <t>Gesamt- masse</t>
  </si>
  <si>
    <t>Gesamt -masse</t>
  </si>
  <si>
    <t>Max A/D (Bonus) Leichte Schiffe</t>
  </si>
  <si>
    <t>Max A/D (Bonus) Mittlere Schiffe</t>
  </si>
  <si>
    <t>Max A/D (Bonus) Schwere Schiffe</t>
  </si>
  <si>
    <t>---</t>
  </si>
  <si>
    <t>Gesamt-masse</t>
  </si>
  <si>
    <t>Bauzeit (s)</t>
  </si>
  <si>
    <t>Raumschifffabrik</t>
  </si>
  <si>
    <t>Bauzeit (min)</t>
  </si>
  <si>
    <t>Hoch-explosiv</t>
  </si>
  <si>
    <t>Masse (Komp.)</t>
  </si>
  <si>
    <t>Antriebs-masse</t>
  </si>
  <si>
    <t>Weitere Masseboni</t>
  </si>
  <si>
    <t>Bugserianer Leicht</t>
  </si>
  <si>
    <t>Bugserianer Mittel</t>
  </si>
  <si>
    <t>Bugserianer Schwer</t>
  </si>
  <si>
    <t>Mögliche Tagesproduktion (Kosten / Werte / Effektivität)</t>
  </si>
  <si>
    <t>Übersicht der erstellten Schiffdesigns</t>
  </si>
  <si>
    <t>Att / Def pro Res</t>
  </si>
  <si>
    <t>Anzahl Schiffe</t>
  </si>
  <si>
    <t>Fracht 
pro Res</t>
  </si>
  <si>
    <t>Kampfkraft pro Tag</t>
  </si>
  <si>
    <t>- Masseverbrauch für mehrere Komponenten in der Übersicht korrigiert
- Kleine Anpassungen in den Schiffsdesign Templates (Fensterfixierung, Eingabefelder)
- Anzeige der Gesamtmasse eines Schiffes hinzugefügt
- Att/Def pro Ress Berechnung auf die Att/Def Werte inklusive Boni bezogen
- Komponentenübersicht aufgeräumt (alte Hilfsberechnungen entfernt, Max A/D Werte korrigiert)
- Bauzeiten der Komponenten ergänzt, sowie Gesamtbauzeit (auf volle Minuten gerundet) der jeweiligen Schiffe (Eintrag der Raumschifffabrik Stufe unter Forschungen notwendig !)
- Berechnung der Geschwindigkeitsangabe geändert (Rundungsfehler Ingame-Code geschuldet)
- Schiffsübersicht um "Mögliche Tagesproduktion" und Effizienz-Statistik erweitert</t>
  </si>
  <si>
    <t>1.3</t>
  </si>
  <si>
    <t>- Markierung von Masserüberschreitung / Energieunterschreitung in der Schiffsübersicht
- Bonusberechnung für den HE-Torpedo Inferno korrigiert</t>
  </si>
  <si>
    <t>Effizienz (inkl. Fracht)</t>
  </si>
  <si>
    <t>Effizienz (ohne Fracht)</t>
  </si>
  <si>
    <t>1.4</t>
  </si>
  <si>
    <t>- Effizienzberechnung "ohne Fracht" hinzugefügt, um rein die Kampfkraft zu optimieren</t>
  </si>
  <si>
    <t>Forschungsboni</t>
  </si>
  <si>
    <t>Abkürzung</t>
  </si>
  <si>
    <t>IT</t>
  </si>
  <si>
    <t>SF</t>
  </si>
  <si>
    <t>TE</t>
  </si>
  <si>
    <t>HA</t>
  </si>
  <si>
    <t>PF</t>
  </si>
  <si>
    <t>HE</t>
  </si>
  <si>
    <t>NT</t>
  </si>
  <si>
    <t>GA</t>
  </si>
  <si>
    <t>LD</t>
  </si>
  <si>
    <t>ES</t>
  </si>
  <si>
    <t>MB</t>
  </si>
  <si>
    <t>NS</t>
  </si>
  <si>
    <t>TK</t>
  </si>
  <si>
    <t>EL</t>
  </si>
  <si>
    <t>EB</t>
  </si>
  <si>
    <t>SK</t>
  </si>
  <si>
    <t>BT</t>
  </si>
  <si>
    <t>VB</t>
  </si>
  <si>
    <t>AT</t>
  </si>
  <si>
    <t>IH</t>
  </si>
  <si>
    <t>HT</t>
  </si>
  <si>
    <t>KV</t>
  </si>
  <si>
    <t>RF</t>
  </si>
  <si>
    <t>TT</t>
  </si>
  <si>
    <t>SÜ</t>
  </si>
  <si>
    <t>SP</t>
  </si>
  <si>
    <t>IO</t>
  </si>
  <si>
    <t>ME</t>
  </si>
  <si>
    <t>ST</t>
  </si>
  <si>
    <t>1.5</t>
  </si>
  <si>
    <t>Forschungs- boni</t>
  </si>
  <si>
    <t>NU</t>
  </si>
  <si>
    <t>- Korrekturen bei der Boniberechnung einiger Komponenten
- Ergänzug der Forschungsboni in den verschiedenen Übersichten
- Abkürzungen der Forschungsboni lassen sich unter "Forschungen" individuell gestalten</t>
  </si>
  <si>
    <t>1.6</t>
  </si>
  <si>
    <t>- Kosten für Antimaterie-Torpedo korrigiert</t>
  </si>
  <si>
    <t>1.7</t>
  </si>
  <si>
    <t>- Änderungen der Terraner zur neuen Runde ergänzt (-15% Bauzeit / +10% Att/Def)
- Neue Masse- und Energieberechnung für Tarntechnik implementiert</t>
  </si>
  <si>
    <t>1.8</t>
  </si>
  <si>
    <t>10.11.2019</t>
  </si>
  <si>
    <t>- Fehler bei dem TT-Modul korrigiert</t>
  </si>
  <si>
    <t>1.9</t>
  </si>
  <si>
    <t>27.11.2019</t>
  </si>
  <si>
    <t>- Weiterer Fehler bei dem TT-Modul korrigiert (Masseverbrauch wurde vom falschen Wert abgeleitet)</t>
  </si>
  <si>
    <t>2.0</t>
  </si>
  <si>
    <t>- Formel für die Geschwindigkeit anhand der Schiffskomponenten.js korrigiert</t>
  </si>
  <si>
    <t>2.1</t>
  </si>
  <si>
    <t>01.12.2019</t>
  </si>
  <si>
    <t>- Formel für die Bauzeit in Abhängigkeit der Werftstufe wurde geändert</t>
  </si>
  <si>
    <t>2.2</t>
  </si>
  <si>
    <t>03.12.2019</t>
  </si>
  <si>
    <t>- Kompatibilität zu älteren Excel Versionen und Google Docs erhöht</t>
  </si>
  <si>
    <t>2.3</t>
  </si>
  <si>
    <t>08.12.2019</t>
  </si>
  <si>
    <t>- Rassenboni für die Schiffskompnenten aktualisiert</t>
  </si>
  <si>
    <t>HA, NS, NT, SK, EB, SF, HE, VB, LD</t>
  </si>
  <si>
    <t>NU, EB, SF, SK, HE, VB, LD</t>
  </si>
  <si>
    <t>NU, NS, NT, SK, EB, SF, HE, VB, LD</t>
  </si>
  <si>
    <t>2.4</t>
  </si>
  <si>
    <t>15.12.2019</t>
  </si>
  <si>
    <t>- Kosten des Antimaterietorpedos korrigiert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</si>
</sst>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Green]\+0%;[Red]\-0%;0%"/>
    <numFmt numFmtId="166" formatCode="#,##0;\-#,###;&quot;&quot;;&quot;&quot;"/>
    <numFmt numFmtId="167" formatCode="#,##0.0"/>
  </numFmts>
  <fonts count="20" x14ac:knownFonts="1">
    <font>
      <sz val="10"/>
      <name val="Arial"/>
      <family val="2"/>
    </font>
    <font>
      <sz val="18"/>
      <color indexed="8"/>
      <name val="Arial"/>
      <family val="2"/>
    </font>
    <font>
      <sz val="12"/>
      <color indexed="8"/>
      <name val="Arial"/>
      <family val="2"/>
    </font>
    <font>
      <sz val="10"/>
      <color indexed="63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19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rgb="FF92D050"/>
      <name val="Arial"/>
      <family val="2"/>
    </font>
    <font>
      <sz val="9"/>
      <color indexed="81"/>
      <name val="Segoe UI"/>
      <charset val="1"/>
    </font>
    <font>
      <b/>
      <sz val="10"/>
      <name val="Arial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10"/>
        <bgColor indexed="16"/>
      </patternFill>
    </fill>
    <fill>
      <patternFill patternType="solid">
        <fgColor indexed="42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BEEF4"/>
        <bgColor rgb="FFEBF1DE"/>
      </patternFill>
    </fill>
  </fills>
  <borders count="9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ashed">
        <color indexed="8"/>
      </left>
      <right style="dashed">
        <color indexed="8"/>
      </right>
      <top style="medium">
        <color indexed="8"/>
      </top>
      <bottom style="dashed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 style="dashed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medium">
        <color indexed="8"/>
      </top>
      <bottom/>
      <diagonal/>
    </border>
    <border>
      <left style="dashed">
        <color indexed="8"/>
      </left>
      <right style="dashed">
        <color indexed="8"/>
      </right>
      <top/>
      <bottom style="dashed">
        <color indexed="8"/>
      </bottom>
      <diagonal/>
    </border>
    <border>
      <left/>
      <right style="dashed">
        <color indexed="8"/>
      </right>
      <top/>
      <bottom style="medium">
        <color indexed="8"/>
      </bottom>
      <diagonal/>
    </border>
    <border>
      <left style="dashed">
        <color indexed="8"/>
      </left>
      <right style="dashed">
        <color indexed="8"/>
      </right>
      <top/>
      <bottom style="medium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dashed">
        <color indexed="8"/>
      </right>
      <top style="medium">
        <color indexed="8"/>
      </top>
      <bottom style="dashed">
        <color indexed="8"/>
      </bottom>
      <diagonal/>
    </border>
    <border>
      <left/>
      <right style="dashed">
        <color indexed="8"/>
      </right>
      <top style="dashed">
        <color indexed="8"/>
      </top>
      <bottom style="dashed">
        <color indexed="8"/>
      </bottom>
      <diagonal/>
    </border>
    <border>
      <left/>
      <right style="dashed">
        <color indexed="8"/>
      </right>
      <top style="dashed">
        <color indexed="8"/>
      </top>
      <bottom style="medium">
        <color indexed="8"/>
      </bottom>
      <diagonal/>
    </border>
    <border>
      <left style="dashed">
        <color indexed="8"/>
      </left>
      <right style="thin">
        <color indexed="8"/>
      </right>
      <top style="medium">
        <color indexed="8"/>
      </top>
      <bottom style="dashed">
        <color indexed="8"/>
      </bottom>
      <diagonal/>
    </border>
    <border>
      <left style="dashed">
        <color indexed="8"/>
      </left>
      <right style="thin">
        <color indexed="8"/>
      </right>
      <top style="dashed">
        <color indexed="8"/>
      </top>
      <bottom style="dashed">
        <color indexed="8"/>
      </bottom>
      <diagonal/>
    </border>
    <border>
      <left style="dashed">
        <color indexed="8"/>
      </left>
      <right style="thin">
        <color indexed="8"/>
      </right>
      <top style="dashed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ck">
        <color indexed="8"/>
      </top>
      <bottom style="thick">
        <color indexed="8"/>
      </bottom>
      <diagonal/>
    </border>
    <border>
      <left style="dashed">
        <color indexed="8"/>
      </left>
      <right/>
      <top/>
      <bottom style="medium">
        <color indexed="8"/>
      </bottom>
      <diagonal/>
    </border>
    <border>
      <left style="dashed">
        <color indexed="8"/>
      </left>
      <right/>
      <top style="medium">
        <color indexed="8"/>
      </top>
      <bottom style="dashed">
        <color indexed="8"/>
      </bottom>
      <diagonal/>
    </border>
    <border>
      <left style="dashed">
        <color indexed="8"/>
      </left>
      <right/>
      <top style="dashed">
        <color indexed="8"/>
      </top>
      <bottom style="dashed">
        <color indexed="8"/>
      </bottom>
      <diagonal/>
    </border>
    <border>
      <left style="dashed">
        <color indexed="8"/>
      </left>
      <right/>
      <top style="dashed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/>
      <diagonal/>
    </border>
    <border>
      <left style="dashed">
        <color indexed="8"/>
      </left>
      <right/>
      <top style="dashed">
        <color indexed="8"/>
      </top>
      <bottom/>
      <diagonal/>
    </border>
    <border>
      <left style="medium">
        <color indexed="8"/>
      </left>
      <right style="dashed">
        <color indexed="8"/>
      </right>
      <top style="medium">
        <color indexed="8"/>
      </top>
      <bottom style="medium">
        <color indexed="8"/>
      </bottom>
      <diagonal/>
    </border>
    <border>
      <left/>
      <right style="dashed">
        <color indexed="8"/>
      </right>
      <top style="dashed">
        <color indexed="8"/>
      </top>
      <bottom/>
      <diagonal/>
    </border>
    <border>
      <left style="dashed">
        <color indexed="8"/>
      </left>
      <right style="dashed">
        <color indexed="8"/>
      </right>
      <top/>
      <bottom/>
      <diagonal/>
    </border>
    <border>
      <left style="dashed">
        <color indexed="8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8"/>
      </left>
      <right style="dashed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/>
      <bottom style="dashed">
        <color indexed="8"/>
      </bottom>
      <diagonal/>
    </border>
    <border>
      <left style="medium">
        <color indexed="8"/>
      </left>
      <right style="dashed">
        <color indexed="8"/>
      </right>
      <top style="medium">
        <color indexed="8"/>
      </top>
      <bottom style="dashed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/>
      <top/>
      <bottom style="dashed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ashed">
        <color indexed="8"/>
      </bottom>
      <diagonal/>
    </border>
    <border>
      <left/>
      <right/>
      <top style="dashed">
        <color indexed="8"/>
      </top>
      <bottom style="dashed">
        <color indexed="8"/>
      </bottom>
      <diagonal/>
    </border>
    <border>
      <left/>
      <right/>
      <top style="medium">
        <color indexed="8"/>
      </top>
      <bottom style="dashed">
        <color indexed="8"/>
      </bottom>
      <diagonal/>
    </border>
    <border>
      <left/>
      <right/>
      <top style="dashed">
        <color indexed="8"/>
      </top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 style="dashed">
        <color auto="1"/>
      </left>
      <right style="medium">
        <color auto="1"/>
      </right>
      <top style="dashed">
        <color indexed="8"/>
      </top>
      <bottom style="dashed">
        <color indexed="8"/>
      </bottom>
      <diagonal/>
    </border>
    <border>
      <left style="dashed">
        <color auto="1"/>
      </left>
      <right style="medium">
        <color auto="1"/>
      </right>
      <top style="medium">
        <color indexed="8"/>
      </top>
      <bottom style="dashed">
        <color indexed="8"/>
      </bottom>
      <diagonal/>
    </border>
    <border>
      <left style="dashed">
        <color auto="1"/>
      </left>
      <right style="medium">
        <color auto="1"/>
      </right>
      <top style="dashed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ck">
        <color indexed="8"/>
      </top>
      <bottom style="thick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dashed">
        <color indexed="8"/>
      </bottom>
      <diagonal/>
    </border>
    <border>
      <left style="dashed">
        <color indexed="8"/>
      </left>
      <right/>
      <top style="thick">
        <color indexed="8"/>
      </top>
      <bottom style="medium">
        <color indexed="8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/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dashed">
        <color indexed="8"/>
      </left>
      <right style="medium">
        <color indexed="8"/>
      </right>
      <top style="medium">
        <color indexed="8"/>
      </top>
      <bottom style="dashed">
        <color auto="1"/>
      </bottom>
      <diagonal/>
    </border>
    <border>
      <left style="dashed">
        <color indexed="8"/>
      </left>
      <right style="medium">
        <color indexed="8"/>
      </right>
      <top style="medium">
        <color indexed="8"/>
      </top>
      <bottom style="dashed">
        <color indexed="8"/>
      </bottom>
      <diagonal/>
    </border>
    <border>
      <left style="dashed">
        <color indexed="8"/>
      </left>
      <right/>
      <top style="medium">
        <color indexed="8"/>
      </top>
      <bottom style="dashed">
        <color indexed="8"/>
      </bottom>
      <diagonal/>
    </border>
    <border>
      <left style="dashed">
        <color indexed="8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dashed">
        <color indexed="8"/>
      </left>
      <right style="medium">
        <color auto="1"/>
      </right>
      <top/>
      <bottom style="dashed">
        <color auto="1"/>
      </bottom>
      <diagonal/>
    </border>
    <border>
      <left style="dashed">
        <color indexed="8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indexed="8"/>
      </left>
      <right style="medium">
        <color auto="1"/>
      </right>
      <top style="dashed">
        <color auto="1"/>
      </top>
      <bottom/>
      <diagonal/>
    </border>
    <border>
      <left style="dashed">
        <color indexed="8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dashed">
        <color indexed="8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indexed="8"/>
      </left>
      <right style="medium">
        <color auto="1"/>
      </right>
      <top style="thick">
        <color auto="1"/>
      </top>
      <bottom style="thick">
        <color auto="1"/>
      </bottom>
      <diagonal/>
    </border>
  </borders>
  <cellStyleXfs count="16">
    <xf numFmtId="0" fontId="0" fillId="0" borderId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9" fillId="4" borderId="0" applyNumberFormat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7" borderId="0" applyNumberFormat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6" fillId="8" borderId="0" applyNumberFormat="0" applyBorder="0" applyAlignment="0" applyProtection="0"/>
    <xf numFmtId="0" fontId="3" fillId="8" borderId="1" applyNumberFormat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7" fillId="0" borderId="0" applyNumberFormat="0" applyFill="0" applyBorder="0" applyAlignment="0" applyProtection="0"/>
  </cellStyleXfs>
  <cellXfs count="222">
    <xf numFmtId="0" fontId="0" fillId="0" borderId="0" xfId="0"/>
    <xf numFmtId="0" fontId="0" fillId="0" borderId="2" xfId="0" applyFont="1" applyBorder="1"/>
    <xf numFmtId="3" fontId="0" fillId="0" borderId="2" xfId="0" applyNumberFormat="1" applyBorder="1"/>
    <xf numFmtId="0" fontId="0" fillId="0" borderId="3" xfId="0" applyFont="1" applyBorder="1"/>
    <xf numFmtId="3" fontId="0" fillId="0" borderId="3" xfId="0" applyNumberFormat="1" applyBorder="1"/>
    <xf numFmtId="0" fontId="0" fillId="0" borderId="4" xfId="0" applyFont="1" applyBorder="1"/>
    <xf numFmtId="3" fontId="0" fillId="0" borderId="4" xfId="0" applyNumberFormat="1" applyBorder="1"/>
    <xf numFmtId="165" fontId="0" fillId="0" borderId="0" xfId="0" applyNumberFormat="1"/>
    <xf numFmtId="166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0" fontId="11" fillId="0" borderId="2" xfId="0" applyFont="1" applyBorder="1"/>
    <xf numFmtId="0" fontId="11" fillId="0" borderId="4" xfId="0" applyFont="1" applyBorder="1"/>
    <xf numFmtId="0" fontId="11" fillId="0" borderId="4" xfId="0" applyFont="1" applyBorder="1" applyAlignment="1">
      <alignment wrapText="1"/>
    </xf>
    <xf numFmtId="3" fontId="0" fillId="0" borderId="5" xfId="0" applyNumberFormat="1" applyBorder="1"/>
    <xf numFmtId="3" fontId="0" fillId="0" borderId="6" xfId="0" applyNumberFormat="1" applyBorder="1"/>
    <xf numFmtId="0" fontId="11" fillId="0" borderId="8" xfId="0" applyFont="1" applyBorder="1"/>
    <xf numFmtId="0" fontId="11" fillId="0" borderId="8" xfId="0" applyFont="1" applyBorder="1" applyAlignment="1">
      <alignment wrapText="1"/>
    </xf>
    <xf numFmtId="0" fontId="11" fillId="9" borderId="9" xfId="0" applyFont="1" applyFill="1" applyBorder="1"/>
    <xf numFmtId="0" fontId="11" fillId="9" borderId="10" xfId="0" applyFont="1" applyFill="1" applyBorder="1"/>
    <xf numFmtId="0" fontId="11" fillId="9" borderId="10" xfId="0" applyFont="1" applyFill="1" applyBorder="1" applyAlignment="1">
      <alignment wrapText="1"/>
    </xf>
    <xf numFmtId="165" fontId="17" fillId="0" borderId="0" xfId="0" applyNumberFormat="1" applyFont="1"/>
    <xf numFmtId="0" fontId="0" fillId="0" borderId="11" xfId="0" applyFont="1" applyBorder="1"/>
    <xf numFmtId="0" fontId="0" fillId="0" borderId="12" xfId="0" applyFont="1" applyBorder="1"/>
    <xf numFmtId="0" fontId="0" fillId="0" borderId="13" xfId="0" applyFont="1" applyBorder="1"/>
    <xf numFmtId="0" fontId="11" fillId="9" borderId="0" xfId="0" applyFont="1" applyFill="1"/>
    <xf numFmtId="0" fontId="0" fillId="0" borderId="6" xfId="0" applyFont="1" applyBorder="1"/>
    <xf numFmtId="0" fontId="11" fillId="10" borderId="14" xfId="0" applyFont="1" applyFill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16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10" borderId="0" xfId="0" applyFill="1"/>
    <xf numFmtId="0" fontId="11" fillId="9" borderId="19" xfId="0" applyFont="1" applyFill="1" applyBorder="1" applyAlignment="1">
      <alignment vertical="center"/>
    </xf>
    <xf numFmtId="0" fontId="11" fillId="9" borderId="20" xfId="0" applyFont="1" applyFill="1" applyBorder="1" applyAlignment="1">
      <alignment vertical="center"/>
    </xf>
    <xf numFmtId="0" fontId="11" fillId="9" borderId="21" xfId="0" applyFont="1" applyFill="1" applyBorder="1" applyAlignment="1">
      <alignment vertical="center"/>
    </xf>
    <xf numFmtId="0" fontId="0" fillId="0" borderId="17" xfId="0" quotePrefix="1" applyBorder="1" applyAlignment="1">
      <alignment horizontal="left" vertical="center" wrapText="1"/>
    </xf>
    <xf numFmtId="14" fontId="0" fillId="0" borderId="22" xfId="0" applyNumberFormat="1" applyBorder="1" applyAlignment="1">
      <alignment horizontal="left" vertical="top"/>
    </xf>
    <xf numFmtId="0" fontId="11" fillId="10" borderId="4" xfId="0" applyFont="1" applyFill="1" applyBorder="1" applyAlignment="1">
      <alignment horizontal="center" vertical="center"/>
    </xf>
    <xf numFmtId="0" fontId="11" fillId="9" borderId="25" xfId="0" applyFont="1" applyFill="1" applyBorder="1" applyAlignment="1">
      <alignment wrapText="1"/>
    </xf>
    <xf numFmtId="0" fontId="11" fillId="0" borderId="26" xfId="0" applyFont="1" applyBorder="1" applyAlignment="1">
      <alignment wrapText="1"/>
    </xf>
    <xf numFmtId="166" fontId="0" fillId="0" borderId="27" xfId="0" applyNumberFormat="1" applyBorder="1"/>
    <xf numFmtId="166" fontId="0" fillId="0" borderId="28" xfId="0" applyNumberFormat="1" applyBorder="1"/>
    <xf numFmtId="166" fontId="0" fillId="0" borderId="29" xfId="0" applyNumberFormat="1" applyBorder="1"/>
    <xf numFmtId="0" fontId="11" fillId="0" borderId="29" xfId="0" applyFont="1" applyBorder="1" applyAlignment="1">
      <alignment wrapText="1"/>
    </xf>
    <xf numFmtId="0" fontId="0" fillId="0" borderId="30" xfId="0" applyFont="1" applyBorder="1"/>
    <xf numFmtId="166" fontId="0" fillId="0" borderId="30" xfId="0" applyNumberFormat="1" applyBorder="1"/>
    <xf numFmtId="166" fontId="0" fillId="0" borderId="31" xfId="0" applyNumberFormat="1" applyBorder="1"/>
    <xf numFmtId="0" fontId="0" fillId="0" borderId="11" xfId="0" applyNumberFormat="1" applyFont="1" applyBorder="1"/>
    <xf numFmtId="0" fontId="11" fillId="9" borderId="19" xfId="0" applyFont="1" applyFill="1" applyBorder="1"/>
    <xf numFmtId="0" fontId="11" fillId="9" borderId="20" xfId="0" applyFont="1" applyFill="1" applyBorder="1"/>
    <xf numFmtId="0" fontId="11" fillId="9" borderId="20" xfId="0" applyFont="1" applyFill="1" applyBorder="1" applyAlignment="1">
      <alignment wrapText="1"/>
    </xf>
    <xf numFmtId="0" fontId="11" fillId="0" borderId="34" xfId="0" applyFont="1" applyBorder="1"/>
    <xf numFmtId="0" fontId="11" fillId="0" borderId="34" xfId="0" applyFont="1" applyBorder="1" applyAlignment="1">
      <alignment wrapText="1"/>
    </xf>
    <xf numFmtId="0" fontId="11" fillId="0" borderId="35" xfId="0" applyFont="1" applyBorder="1" applyAlignment="1">
      <alignment wrapText="1"/>
    </xf>
    <xf numFmtId="3" fontId="0" fillId="0" borderId="22" xfId="0" applyNumberFormat="1" applyBorder="1" applyAlignment="1">
      <alignment horizontal="left" vertical="center"/>
    </xf>
    <xf numFmtId="3" fontId="0" fillId="0" borderId="23" xfId="0" applyNumberFormat="1" applyBorder="1" applyAlignment="1">
      <alignment horizontal="left" vertical="center"/>
    </xf>
    <xf numFmtId="3" fontId="11" fillId="0" borderId="2" xfId="0" applyNumberFormat="1" applyFont="1" applyBorder="1"/>
    <xf numFmtId="3" fontId="11" fillId="0" borderId="27" xfId="0" applyNumberFormat="1" applyFont="1" applyBorder="1"/>
    <xf numFmtId="0" fontId="0" fillId="12" borderId="36" xfId="0" applyNumberFormat="1" applyFill="1" applyBorder="1" applyAlignment="1">
      <alignment horizontal="left" vertical="center"/>
    </xf>
    <xf numFmtId="0" fontId="0" fillId="12" borderId="37" xfId="0" applyNumberFormat="1" applyFill="1" applyBorder="1" applyAlignment="1">
      <alignment horizontal="left" vertical="center"/>
    </xf>
    <xf numFmtId="49" fontId="0" fillId="0" borderId="36" xfId="0" applyNumberFormat="1" applyBorder="1" applyAlignment="1">
      <alignment horizontal="left" vertical="top"/>
    </xf>
    <xf numFmtId="3" fontId="0" fillId="0" borderId="38" xfId="0" applyNumberFormat="1" applyBorder="1" applyAlignment="1">
      <alignment horizontal="left" vertical="center"/>
    </xf>
    <xf numFmtId="0" fontId="0" fillId="12" borderId="46" xfId="0" applyNumberFormat="1" applyFill="1" applyBorder="1" applyAlignment="1">
      <alignment horizontal="left" vertical="center"/>
    </xf>
    <xf numFmtId="3" fontId="0" fillId="0" borderId="47" xfId="0" applyNumberFormat="1" applyBorder="1" applyAlignment="1">
      <alignment horizontal="left" vertical="center"/>
    </xf>
    <xf numFmtId="0" fontId="15" fillId="10" borderId="49" xfId="0" applyFont="1" applyFill="1" applyBorder="1" applyAlignment="1">
      <alignment horizontal="center" vertical="center"/>
    </xf>
    <xf numFmtId="0" fontId="16" fillId="11" borderId="50" xfId="0" applyFont="1" applyFill="1" applyBorder="1" applyAlignment="1">
      <alignment horizontal="center" vertical="center"/>
    </xf>
    <xf numFmtId="0" fontId="11" fillId="10" borderId="51" xfId="0" applyFont="1" applyFill="1" applyBorder="1" applyAlignment="1">
      <alignment horizontal="center" vertical="center"/>
    </xf>
    <xf numFmtId="0" fontId="0" fillId="12" borderId="52" xfId="0" applyFont="1" applyFill="1" applyBorder="1" applyAlignment="1">
      <alignment horizontal="center" vertical="center"/>
    </xf>
    <xf numFmtId="0" fontId="12" fillId="10" borderId="53" xfId="0" applyNumberFormat="1" applyFont="1" applyFill="1" applyBorder="1" applyAlignment="1">
      <alignment horizontal="center" vertical="center" wrapText="1"/>
    </xf>
    <xf numFmtId="49" fontId="11" fillId="11" borderId="52" xfId="0" applyNumberFormat="1" applyFont="1" applyFill="1" applyBorder="1" applyAlignment="1">
      <alignment horizontal="center"/>
    </xf>
    <xf numFmtId="0" fontId="12" fillId="10" borderId="54" xfId="0" applyFont="1" applyFill="1" applyBorder="1" applyAlignment="1">
      <alignment horizontal="center" vertical="center" wrapText="1"/>
    </xf>
    <xf numFmtId="49" fontId="11" fillId="11" borderId="55" xfId="0" applyNumberFormat="1" applyFont="1" applyFill="1" applyBorder="1" applyAlignment="1">
      <alignment horizontal="center" vertical="center"/>
    </xf>
    <xf numFmtId="49" fontId="0" fillId="0" borderId="33" xfId="0" applyNumberFormat="1" applyFont="1" applyFill="1" applyBorder="1" applyAlignment="1">
      <alignment horizontal="left"/>
    </xf>
    <xf numFmtId="0" fontId="0" fillId="0" borderId="56" xfId="0" applyBorder="1"/>
    <xf numFmtId="0" fontId="0" fillId="0" borderId="28" xfId="0" applyBorder="1"/>
    <xf numFmtId="0" fontId="0" fillId="0" borderId="27" xfId="0" applyBorder="1"/>
    <xf numFmtId="0" fontId="0" fillId="0" borderId="29" xfId="0" applyBorder="1"/>
    <xf numFmtId="0" fontId="0" fillId="0" borderId="6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" fontId="0" fillId="0" borderId="2" xfId="0" applyNumberFormat="1" applyFill="1" applyBorder="1"/>
    <xf numFmtId="1" fontId="0" fillId="0" borderId="28" xfId="0" applyNumberFormat="1" applyFill="1" applyBorder="1"/>
    <xf numFmtId="1" fontId="0" fillId="0" borderId="3" xfId="0" applyNumberFormat="1" applyFill="1" applyBorder="1"/>
    <xf numFmtId="1" fontId="0" fillId="0" borderId="3" xfId="0" quotePrefix="1" applyNumberFormat="1" applyFill="1" applyBorder="1" applyAlignment="1">
      <alignment horizontal="right"/>
    </xf>
    <xf numFmtId="1" fontId="0" fillId="0" borderId="29" xfId="0" applyNumberFormat="1" applyFill="1" applyBorder="1"/>
    <xf numFmtId="1" fontId="0" fillId="0" borderId="4" xfId="0" quotePrefix="1" applyNumberFormat="1" applyFill="1" applyBorder="1" applyAlignment="1">
      <alignment horizontal="right"/>
    </xf>
    <xf numFmtId="1" fontId="0" fillId="0" borderId="27" xfId="0" applyNumberFormat="1" applyFill="1" applyBorder="1"/>
    <xf numFmtId="1" fontId="0" fillId="0" borderId="4" xfId="0" applyNumberFormat="1" applyFill="1" applyBorder="1"/>
    <xf numFmtId="1" fontId="0" fillId="0" borderId="28" xfId="0" quotePrefix="1" applyNumberFormat="1" applyFill="1" applyBorder="1" applyAlignment="1">
      <alignment horizontal="right"/>
    </xf>
    <xf numFmtId="1" fontId="0" fillId="0" borderId="29" xfId="0" quotePrefix="1" applyNumberFormat="1" applyFill="1" applyBorder="1" applyAlignment="1">
      <alignment horizontal="right"/>
    </xf>
    <xf numFmtId="3" fontId="0" fillId="0" borderId="58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61" xfId="0" applyNumberFormat="1" applyBorder="1"/>
    <xf numFmtId="0" fontId="19" fillId="13" borderId="57" xfId="0" applyFont="1" applyFill="1" applyBorder="1" applyAlignment="1">
      <alignment wrapText="1"/>
    </xf>
    <xf numFmtId="0" fontId="11" fillId="11" borderId="0" xfId="0" applyFont="1" applyFill="1"/>
    <xf numFmtId="0" fontId="11" fillId="9" borderId="0" xfId="0" applyFont="1" applyFill="1" applyAlignment="1">
      <alignment wrapText="1"/>
    </xf>
    <xf numFmtId="1" fontId="0" fillId="0" borderId="0" xfId="0" applyNumberFormat="1"/>
    <xf numFmtId="0" fontId="0" fillId="0" borderId="7" xfId="0" applyFont="1" applyBorder="1"/>
    <xf numFmtId="0" fontId="0" fillId="0" borderId="0" xfId="0" applyFill="1"/>
    <xf numFmtId="0" fontId="11" fillId="0" borderId="0" xfId="0" applyFont="1"/>
    <xf numFmtId="167" fontId="0" fillId="0" borderId="38" xfId="0" applyNumberFormat="1" applyBorder="1" applyAlignment="1">
      <alignment horizontal="left" vertical="center"/>
    </xf>
    <xf numFmtId="167" fontId="0" fillId="0" borderId="22" xfId="0" applyNumberFormat="1" applyBorder="1" applyAlignment="1">
      <alignment horizontal="left" vertical="center"/>
    </xf>
    <xf numFmtId="167" fontId="0" fillId="0" borderId="47" xfId="0" applyNumberFormat="1" applyBorder="1" applyAlignment="1">
      <alignment horizontal="left" vertical="center"/>
    </xf>
    <xf numFmtId="167" fontId="0" fillId="0" borderId="23" xfId="0" applyNumberFormat="1" applyBorder="1" applyAlignment="1">
      <alignment horizontal="left" vertical="center"/>
    </xf>
    <xf numFmtId="0" fontId="11" fillId="9" borderId="62" xfId="0" applyFont="1" applyFill="1" applyBorder="1" applyAlignment="1">
      <alignment wrapText="1"/>
    </xf>
    <xf numFmtId="2" fontId="0" fillId="0" borderId="63" xfId="0" applyNumberFormat="1" applyFill="1" applyBorder="1" applyAlignment="1">
      <alignment horizontal="left" vertical="center"/>
    </xf>
    <xf numFmtId="2" fontId="0" fillId="0" borderId="64" xfId="0" applyNumberFormat="1" applyFill="1" applyBorder="1" applyAlignment="1">
      <alignment horizontal="left" vertical="center"/>
    </xf>
    <xf numFmtId="2" fontId="0" fillId="0" borderId="65" xfId="0" applyNumberFormat="1" applyFill="1" applyBorder="1" applyAlignment="1">
      <alignment horizontal="left" vertical="center"/>
    </xf>
    <xf numFmtId="0" fontId="11" fillId="9" borderId="66" xfId="0" applyFont="1" applyFill="1" applyBorder="1" applyAlignment="1">
      <alignment wrapText="1"/>
    </xf>
    <xf numFmtId="3" fontId="0" fillId="0" borderId="67" xfId="0" applyNumberFormat="1" applyBorder="1" applyAlignment="1">
      <alignment horizontal="left" vertical="center"/>
    </xf>
    <xf numFmtId="3" fontId="0" fillId="0" borderId="68" xfId="0" applyNumberFormat="1" applyBorder="1" applyAlignment="1">
      <alignment horizontal="left" vertical="center"/>
    </xf>
    <xf numFmtId="3" fontId="0" fillId="0" borderId="69" xfId="0" applyNumberFormat="1" applyBorder="1" applyAlignment="1">
      <alignment horizontal="left" vertical="center"/>
    </xf>
    <xf numFmtId="167" fontId="0" fillId="0" borderId="17" xfId="0" applyNumberFormat="1" applyBorder="1" applyAlignment="1">
      <alignment horizontal="left" vertical="center"/>
    </xf>
    <xf numFmtId="167" fontId="0" fillId="0" borderId="48" xfId="0" applyNumberFormat="1" applyBorder="1" applyAlignment="1">
      <alignment horizontal="left" vertical="center"/>
    </xf>
    <xf numFmtId="167" fontId="0" fillId="0" borderId="18" xfId="0" applyNumberFormat="1" applyBorder="1" applyAlignment="1">
      <alignment horizontal="left" vertical="center"/>
    </xf>
    <xf numFmtId="0" fontId="0" fillId="0" borderId="17" xfId="0" quotePrefix="1" applyBorder="1" applyAlignment="1">
      <alignment horizontal="left" vertical="center"/>
    </xf>
    <xf numFmtId="167" fontId="0" fillId="0" borderId="67" xfId="0" applyNumberFormat="1" applyBorder="1" applyAlignment="1">
      <alignment horizontal="left" vertical="center"/>
    </xf>
    <xf numFmtId="167" fontId="0" fillId="0" borderId="68" xfId="0" applyNumberFormat="1" applyBorder="1" applyAlignment="1">
      <alignment horizontal="left" vertical="center"/>
    </xf>
    <xf numFmtId="167" fontId="0" fillId="0" borderId="69" xfId="0" applyNumberFormat="1" applyBorder="1" applyAlignment="1">
      <alignment horizontal="left" vertical="center"/>
    </xf>
    <xf numFmtId="0" fontId="11" fillId="9" borderId="70" xfId="0" applyFont="1" applyFill="1" applyBorder="1" applyAlignment="1">
      <alignment wrapText="1"/>
    </xf>
    <xf numFmtId="0" fontId="11" fillId="9" borderId="0" xfId="0" applyFont="1" applyFill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1" fontId="0" fillId="0" borderId="73" xfId="0" applyNumberFormat="1" applyFill="1" applyBorder="1"/>
    <xf numFmtId="1" fontId="0" fillId="0" borderId="72" xfId="0" applyNumberFormat="1" applyFill="1" applyBorder="1"/>
    <xf numFmtId="1" fontId="0" fillId="0" borderId="72" xfId="0" quotePrefix="1" applyNumberFormat="1" applyFill="1" applyBorder="1" applyAlignment="1">
      <alignment horizontal="right"/>
    </xf>
    <xf numFmtId="1" fontId="0" fillId="0" borderId="74" xfId="0" applyNumberFormat="1" applyFill="1" applyBorder="1"/>
    <xf numFmtId="0" fontId="11" fillId="0" borderId="75" xfId="0" applyFont="1" applyFill="1" applyBorder="1"/>
    <xf numFmtId="0" fontId="0" fillId="0" borderId="0" xfId="0" applyAlignment="1">
      <alignment horizontal="center"/>
    </xf>
    <xf numFmtId="0" fontId="0" fillId="0" borderId="8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1" fontId="0" fillId="0" borderId="77" xfId="0" applyNumberFormat="1" applyFill="1" applyBorder="1" applyAlignment="1">
      <alignment horizontal="center"/>
    </xf>
    <xf numFmtId="1" fontId="0" fillId="0" borderId="76" xfId="0" applyNumberFormat="1" applyFill="1" applyBorder="1" applyAlignment="1">
      <alignment horizontal="center"/>
    </xf>
    <xf numFmtId="1" fontId="0" fillId="0" borderId="76" xfId="0" quotePrefix="1" applyNumberFormat="1" applyFill="1" applyBorder="1" applyAlignment="1">
      <alignment horizontal="center"/>
    </xf>
    <xf numFmtId="1" fontId="0" fillId="0" borderId="78" xfId="0" applyNumberFormat="1" applyFill="1" applyBorder="1" applyAlignment="1">
      <alignment horizontal="center"/>
    </xf>
    <xf numFmtId="0" fontId="11" fillId="9" borderId="79" xfId="0" applyFont="1" applyFill="1" applyBorder="1" applyAlignment="1">
      <alignment horizontal="left" wrapText="1"/>
    </xf>
    <xf numFmtId="49" fontId="0" fillId="0" borderId="46" xfId="0" applyNumberFormat="1" applyBorder="1" applyAlignment="1">
      <alignment horizontal="left" vertical="top"/>
    </xf>
    <xf numFmtId="14" fontId="0" fillId="0" borderId="47" xfId="0" applyNumberFormat="1" applyBorder="1" applyAlignment="1">
      <alignment horizontal="left" vertical="top"/>
    </xf>
    <xf numFmtId="0" fontId="11" fillId="9" borderId="66" xfId="0" applyFont="1" applyFill="1" applyBorder="1"/>
    <xf numFmtId="9" fontId="0" fillId="0" borderId="67" xfId="0" applyNumberFormat="1" applyBorder="1" applyAlignment="1">
      <alignment horizontal="left" vertical="center"/>
    </xf>
    <xf numFmtId="9" fontId="0" fillId="0" borderId="68" xfId="0" applyNumberFormat="1" applyBorder="1" applyAlignment="1">
      <alignment horizontal="left" vertical="center"/>
    </xf>
    <xf numFmtId="9" fontId="0" fillId="0" borderId="69" xfId="0" applyNumberFormat="1" applyBorder="1" applyAlignment="1">
      <alignment horizontal="left" vertical="center"/>
    </xf>
    <xf numFmtId="0" fontId="0" fillId="0" borderId="48" xfId="0" quotePrefix="1" applyBorder="1" applyAlignment="1">
      <alignment horizontal="left" vertical="center" wrapText="1"/>
    </xf>
    <xf numFmtId="0" fontId="11" fillId="9" borderId="25" xfId="0" applyFont="1" applyFill="1" applyBorder="1"/>
    <xf numFmtId="0" fontId="11" fillId="0" borderId="81" xfId="0" applyFont="1" applyBorder="1"/>
    <xf numFmtId="9" fontId="11" fillId="0" borderId="27" xfId="0" applyNumberFormat="1" applyFont="1" applyBorder="1"/>
    <xf numFmtId="0" fontId="11" fillId="0" borderId="29" xfId="0" applyFont="1" applyBorder="1"/>
    <xf numFmtId="0" fontId="0" fillId="0" borderId="82" xfId="0" applyBorder="1"/>
    <xf numFmtId="0" fontId="0" fillId="0" borderId="83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11" fillId="0" borderId="83" xfId="0" applyFont="1" applyBorder="1" applyAlignment="1">
      <alignment wrapText="1"/>
    </xf>
    <xf numFmtId="0" fontId="0" fillId="0" borderId="89" xfId="0" applyNumberFormat="1" applyBorder="1"/>
    <xf numFmtId="0" fontId="0" fillId="0" borderId="88" xfId="0" applyNumberFormat="1" applyBorder="1"/>
    <xf numFmtId="0" fontId="0" fillId="0" borderId="82" xfId="0" applyNumberFormat="1" applyBorder="1"/>
    <xf numFmtId="0" fontId="0" fillId="0" borderId="84" xfId="0" applyNumberFormat="1" applyBorder="1"/>
    <xf numFmtId="0" fontId="0" fillId="0" borderId="86" xfId="0" applyNumberFormat="1" applyBorder="1"/>
    <xf numFmtId="0" fontId="0" fillId="0" borderId="83" xfId="0" applyNumberFormat="1" applyBorder="1"/>
    <xf numFmtId="0" fontId="0" fillId="0" borderId="85" xfId="0" applyNumberFormat="1" applyBorder="1"/>
    <xf numFmtId="0" fontId="0" fillId="0" borderId="90" xfId="0" applyBorder="1"/>
    <xf numFmtId="166" fontId="0" fillId="0" borderId="90" xfId="0" applyNumberFormat="1" applyBorder="1"/>
    <xf numFmtId="9" fontId="11" fillId="0" borderId="90" xfId="0" applyNumberFormat="1" applyFont="1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3" xfId="0" applyNumberFormat="1" applyBorder="1"/>
    <xf numFmtId="0" fontId="0" fillId="0" borderId="94" xfId="0" applyNumberFormat="1" applyBorder="1"/>
    <xf numFmtId="0" fontId="0" fillId="0" borderId="95" xfId="0" applyNumberFormat="1" applyBorder="1"/>
    <xf numFmtId="0" fontId="0" fillId="0" borderId="96" xfId="0" applyNumberFormat="1" applyBorder="1"/>
    <xf numFmtId="0" fontId="0" fillId="0" borderId="92" xfId="0" applyNumberFormat="1" applyBorder="1"/>
    <xf numFmtId="0" fontId="0" fillId="0" borderId="95" xfId="0" applyBorder="1"/>
    <xf numFmtId="0" fontId="0" fillId="0" borderId="96" xfId="0" applyBorder="1"/>
    <xf numFmtId="0" fontId="11" fillId="0" borderId="96" xfId="0" applyFont="1" applyBorder="1" applyAlignment="1">
      <alignment wrapText="1"/>
    </xf>
    <xf numFmtId="0" fontId="11" fillId="9" borderId="97" xfId="0" applyFont="1" applyFill="1" applyBorder="1" applyAlignment="1">
      <alignment wrapText="1"/>
    </xf>
    <xf numFmtId="0" fontId="11" fillId="9" borderId="98" xfId="0" applyFont="1" applyFill="1" applyBorder="1" applyAlignment="1">
      <alignment wrapText="1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2" xfId="0" applyNumberFormat="1" applyBorder="1"/>
    <xf numFmtId="49" fontId="0" fillId="0" borderId="0" xfId="0" applyNumberFormat="1" applyBorder="1"/>
    <xf numFmtId="49" fontId="0" fillId="0" borderId="0" xfId="0" quotePrefix="1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quotePrefix="1" applyNumberFormat="1" applyBorder="1"/>
    <xf numFmtId="0" fontId="0" fillId="12" borderId="52" xfId="0" quotePrefix="1" applyFont="1" applyFill="1" applyBorder="1" applyAlignment="1">
      <alignment horizontal="center" vertical="center"/>
    </xf>
    <xf numFmtId="49" fontId="0" fillId="0" borderId="36" xfId="0" applyNumberFormat="1" applyBorder="1"/>
    <xf numFmtId="49" fontId="0" fillId="0" borderId="22" xfId="0" applyNumberFormat="1" applyBorder="1"/>
    <xf numFmtId="49" fontId="0" fillId="0" borderId="17" xfId="0" quotePrefix="1" applyNumberFormat="1" applyBorder="1"/>
    <xf numFmtId="0" fontId="12" fillId="10" borderId="40" xfId="0" applyFont="1" applyFill="1" applyBorder="1" applyAlignment="1">
      <alignment horizontal="center" vertical="center" textRotation="90" wrapText="1"/>
    </xf>
    <xf numFmtId="0" fontId="12" fillId="10" borderId="41" xfId="0" applyFont="1" applyFill="1" applyBorder="1" applyAlignment="1">
      <alignment horizontal="center" vertical="center" textRotation="90" wrapText="1"/>
    </xf>
    <xf numFmtId="0" fontId="11" fillId="10" borderId="6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 textRotation="90" wrapText="1"/>
    </xf>
    <xf numFmtId="0" fontId="11" fillId="10" borderId="3" xfId="0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1" fillId="10" borderId="30" xfId="0" applyFont="1" applyFill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left"/>
    </xf>
    <xf numFmtId="0" fontId="11" fillId="10" borderId="14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6" xfId="0" applyFont="1" applyFill="1" applyBorder="1" applyAlignment="1">
      <alignment horizontal="center" vertical="center"/>
    </xf>
    <xf numFmtId="0" fontId="14" fillId="10" borderId="42" xfId="0" applyFont="1" applyFill="1" applyBorder="1" applyAlignment="1">
      <alignment horizontal="center" vertical="center"/>
    </xf>
    <xf numFmtId="0" fontId="14" fillId="10" borderId="43" xfId="0" applyFont="1" applyFill="1" applyBorder="1" applyAlignment="1">
      <alignment horizontal="center" vertical="center"/>
    </xf>
    <xf numFmtId="0" fontId="14" fillId="10" borderId="44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49" fontId="0" fillId="0" borderId="37" xfId="0" applyNumberFormat="1" applyBorder="1"/>
    <xf numFmtId="49" fontId="0" fillId="0" borderId="23" xfId="0" applyNumberFormat="1" applyBorder="1"/>
    <xf numFmtId="49" fontId="0" fillId="0" borderId="18" xfId="0" quotePrefix="1" applyNumberFormat="1" applyBorder="1"/>
  </cellXfs>
  <cellStyles count="16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 1" xfId="9" xr:uid="{00000000-0005-0000-0000-000008000000}"/>
    <cellStyle name="Heading 2" xfId="10" xr:uid="{00000000-0005-0000-0000-000009000000}"/>
    <cellStyle name="Neutral" xfId="11" builtinId="28" customBuiltin="1"/>
    <cellStyle name="Note" xfId="12" xr:uid="{00000000-0005-0000-0000-00000B000000}"/>
    <cellStyle name="Standard" xfId="0" builtinId="0"/>
    <cellStyle name="Status" xfId="13" xr:uid="{00000000-0005-0000-0000-00000D000000}"/>
    <cellStyle name="Text" xfId="14" xr:uid="{00000000-0005-0000-0000-00000E000000}"/>
    <cellStyle name="Warning" xfId="15" xr:uid="{00000000-0005-0000-0000-00000F000000}"/>
  </cellStyles>
  <dxfs count="57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00FF00"/>
      <rgbColor rgb="000000EE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CC"/>
      <rgbColor rgb="003366FF"/>
      <rgbColor rgb="0033FF99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A47"/>
  <sheetViews>
    <sheetView zoomScaleNormal="100" workbookViewId="0">
      <pane xSplit="3" ySplit="1" topLeftCell="D5" activePane="bottomRight" state="frozenSplit"/>
      <selection pane="topRight" activeCell="I1" sqref="I1"/>
      <selection pane="bottomLeft" activeCell="A15" sqref="A15"/>
      <selection pane="bottomRight" activeCell="C35" sqref="C35"/>
    </sheetView>
  </sheetViews>
  <sheetFormatPr baseColWidth="10" defaultRowHeight="12.75" x14ac:dyDescent="0.2"/>
  <cols>
    <col min="1" max="1" width="9.85546875" customWidth="1"/>
    <col min="2" max="2" width="21.28515625" customWidth="1"/>
    <col min="3" max="3" width="30.85546875" customWidth="1"/>
    <col min="4" max="18" width="7.7109375" customWidth="1"/>
    <col min="19" max="19" width="10.42578125" customWidth="1"/>
    <col min="20" max="21" width="10" customWidth="1"/>
    <col min="22" max="24" width="16" customWidth="1"/>
    <col min="25" max="25" width="16" style="137" customWidth="1"/>
    <col min="26" max="26" width="11.5703125" customWidth="1"/>
  </cols>
  <sheetData>
    <row r="1" spans="1:27" ht="26.1" customHeight="1" thickTop="1" thickBot="1" x14ac:dyDescent="0.25">
      <c r="A1" s="18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20" t="s">
        <v>152</v>
      </c>
      <c r="K1" s="20" t="s">
        <v>142</v>
      </c>
      <c r="L1" s="19" t="s">
        <v>10</v>
      </c>
      <c r="M1" s="100" t="s">
        <v>153</v>
      </c>
      <c r="N1" s="19" t="s">
        <v>11</v>
      </c>
      <c r="O1" s="20" t="s">
        <v>12</v>
      </c>
      <c r="P1" s="20" t="s">
        <v>13</v>
      </c>
      <c r="Q1" s="20" t="s">
        <v>14</v>
      </c>
      <c r="R1" s="19" t="s">
        <v>15</v>
      </c>
      <c r="S1" s="20" t="s">
        <v>125</v>
      </c>
      <c r="T1" s="20" t="s">
        <v>16</v>
      </c>
      <c r="U1" s="20" t="s">
        <v>17</v>
      </c>
      <c r="V1" s="20" t="s">
        <v>148</v>
      </c>
      <c r="W1" s="20" t="s">
        <v>149</v>
      </c>
      <c r="X1" s="40" t="s">
        <v>150</v>
      </c>
      <c r="Y1" s="146" t="s">
        <v>176</v>
      </c>
      <c r="Z1" s="136" t="s">
        <v>137</v>
      </c>
    </row>
    <row r="2" spans="1:27" ht="12.75" customHeight="1" thickTop="1" thickBot="1" x14ac:dyDescent="0.25">
      <c r="A2" s="199" t="s">
        <v>19</v>
      </c>
      <c r="B2" s="201"/>
      <c r="C2" s="26" t="s">
        <v>20</v>
      </c>
      <c r="D2" s="15">
        <v>1000</v>
      </c>
      <c r="E2" s="15">
        <v>200</v>
      </c>
      <c r="F2" s="15"/>
      <c r="G2" s="15"/>
      <c r="H2" s="15"/>
      <c r="I2" s="15"/>
      <c r="J2" s="15">
        <v>1500</v>
      </c>
      <c r="K2" s="15">
        <v>1000</v>
      </c>
      <c r="L2" s="15"/>
      <c r="M2" s="96">
        <v>2160</v>
      </c>
      <c r="N2" s="15"/>
      <c r="O2" s="15"/>
      <c r="P2" s="15"/>
      <c r="Q2" s="15"/>
      <c r="R2" s="15"/>
      <c r="S2" s="15"/>
      <c r="T2" s="26"/>
      <c r="U2" s="26"/>
      <c r="V2" s="75"/>
      <c r="W2" s="79"/>
      <c r="X2" s="128"/>
      <c r="Y2" s="138"/>
      <c r="Z2" t="s">
        <v>133</v>
      </c>
      <c r="AA2">
        <v>0</v>
      </c>
    </row>
    <row r="3" spans="1:27" ht="13.5" thickBot="1" x14ac:dyDescent="0.25">
      <c r="A3" s="200"/>
      <c r="B3" s="202"/>
      <c r="C3" s="3" t="s">
        <v>21</v>
      </c>
      <c r="D3" s="4">
        <v>3500</v>
      </c>
      <c r="E3" s="4">
        <v>700</v>
      </c>
      <c r="F3" s="4"/>
      <c r="G3" s="4"/>
      <c r="H3" s="4"/>
      <c r="I3" s="4"/>
      <c r="J3" s="4">
        <v>7000</v>
      </c>
      <c r="K3" s="4">
        <v>5000</v>
      </c>
      <c r="L3" s="4"/>
      <c r="M3" s="97">
        <v>33120</v>
      </c>
      <c r="N3" s="4"/>
      <c r="O3" s="4"/>
      <c r="P3" s="4"/>
      <c r="Q3" s="4"/>
      <c r="R3" s="4"/>
      <c r="S3" s="4"/>
      <c r="T3" s="3"/>
      <c r="U3" s="3"/>
      <c r="V3" s="76"/>
      <c r="W3" s="80"/>
      <c r="X3" s="129"/>
      <c r="Y3" s="139"/>
      <c r="Z3" t="s">
        <v>134</v>
      </c>
      <c r="AA3">
        <v>1</v>
      </c>
    </row>
    <row r="4" spans="1:27" ht="13.5" thickBot="1" x14ac:dyDescent="0.25">
      <c r="A4" s="200"/>
      <c r="B4" s="202"/>
      <c r="C4" s="3" t="s">
        <v>22</v>
      </c>
      <c r="D4" s="4">
        <v>12500</v>
      </c>
      <c r="E4" s="4">
        <v>2500</v>
      </c>
      <c r="F4" s="4"/>
      <c r="G4" s="4"/>
      <c r="H4" s="4"/>
      <c r="I4" s="4"/>
      <c r="J4" s="4">
        <v>35000</v>
      </c>
      <c r="K4" s="4">
        <v>25000</v>
      </c>
      <c r="L4" s="4"/>
      <c r="M4" s="97">
        <v>80640</v>
      </c>
      <c r="N4" s="4"/>
      <c r="O4" s="4"/>
      <c r="P4" s="4"/>
      <c r="Q4" s="4"/>
      <c r="R4" s="4"/>
      <c r="S4" s="4"/>
      <c r="T4" s="3"/>
      <c r="U4" s="3"/>
      <c r="V4" s="76"/>
      <c r="W4" s="80"/>
      <c r="X4" s="129"/>
      <c r="Y4" s="139"/>
      <c r="Z4" t="s">
        <v>135</v>
      </c>
      <c r="AA4">
        <v>2</v>
      </c>
    </row>
    <row r="5" spans="1:27" ht="12.75" customHeight="1" thickBot="1" x14ac:dyDescent="0.25">
      <c r="A5" s="203" t="s">
        <v>23</v>
      </c>
      <c r="B5" s="206" t="s">
        <v>133</v>
      </c>
      <c r="C5" s="1" t="s">
        <v>24</v>
      </c>
      <c r="D5" s="2">
        <v>2100</v>
      </c>
      <c r="E5" s="2">
        <v>2595</v>
      </c>
      <c r="F5" s="2">
        <v>3780</v>
      </c>
      <c r="G5" s="2"/>
      <c r="H5" s="2">
        <v>3100</v>
      </c>
      <c r="I5" s="2"/>
      <c r="J5" s="2"/>
      <c r="K5" s="2">
        <v>-200</v>
      </c>
      <c r="L5" s="2">
        <v>200</v>
      </c>
      <c r="M5" s="98">
        <v>21600</v>
      </c>
      <c r="N5" s="2"/>
      <c r="O5" s="2"/>
      <c r="P5" s="2"/>
      <c r="Q5" s="2"/>
      <c r="R5" s="2"/>
      <c r="S5" s="2"/>
      <c r="T5" s="1"/>
      <c r="U5" s="1"/>
      <c r="V5" s="77"/>
      <c r="W5" s="81"/>
      <c r="X5" s="130"/>
      <c r="Y5" s="140" t="str">
        <f>Forschungen!$D$12</f>
        <v>IT</v>
      </c>
      <c r="Z5" t="s">
        <v>136</v>
      </c>
    </row>
    <row r="6" spans="1:27" ht="13.5" thickBot="1" x14ac:dyDescent="0.25">
      <c r="A6" s="203"/>
      <c r="B6" s="207"/>
      <c r="C6" s="3" t="s">
        <v>25</v>
      </c>
      <c r="D6" s="4">
        <v>6600</v>
      </c>
      <c r="E6" s="4">
        <v>7200</v>
      </c>
      <c r="F6" s="4">
        <v>8200</v>
      </c>
      <c r="G6" s="4"/>
      <c r="H6" s="4">
        <v>4800</v>
      </c>
      <c r="I6" s="4"/>
      <c r="J6" s="4"/>
      <c r="K6" s="4">
        <v>-1000</v>
      </c>
      <c r="L6" s="4">
        <v>1000</v>
      </c>
      <c r="M6" s="97">
        <v>32400</v>
      </c>
      <c r="N6" s="4"/>
      <c r="O6" s="4"/>
      <c r="P6" s="4"/>
      <c r="Q6" s="4"/>
      <c r="R6" s="4"/>
      <c r="S6" s="4"/>
      <c r="T6" s="3"/>
      <c r="U6" s="3"/>
      <c r="V6" s="76"/>
      <c r="W6" s="80"/>
      <c r="X6" s="129"/>
      <c r="Y6" s="139" t="str">
        <f>Forschungen!$D$12</f>
        <v>IT</v>
      </c>
    </row>
    <row r="7" spans="1:27" ht="13.5" thickBot="1" x14ac:dyDescent="0.25">
      <c r="A7" s="203"/>
      <c r="B7" s="201"/>
      <c r="C7" s="3" t="s">
        <v>26</v>
      </c>
      <c r="D7" s="4">
        <v>46600</v>
      </c>
      <c r="E7" s="4">
        <v>57800</v>
      </c>
      <c r="F7" s="4">
        <v>68200</v>
      </c>
      <c r="G7" s="4"/>
      <c r="H7" s="4">
        <v>28600</v>
      </c>
      <c r="I7" s="4"/>
      <c r="J7" s="4"/>
      <c r="K7" s="4">
        <v>-5000</v>
      </c>
      <c r="L7" s="4">
        <v>5000</v>
      </c>
      <c r="M7" s="97">
        <v>64800</v>
      </c>
      <c r="N7" s="4"/>
      <c r="O7" s="4"/>
      <c r="P7" s="4"/>
      <c r="Q7" s="4"/>
      <c r="R7" s="4"/>
      <c r="S7" s="4"/>
      <c r="T7" s="3"/>
      <c r="U7" s="3"/>
      <c r="V7" s="76"/>
      <c r="W7" s="80"/>
      <c r="X7" s="129"/>
      <c r="Y7" s="139" t="str">
        <f>Forschungen!$D$12</f>
        <v>IT</v>
      </c>
    </row>
    <row r="8" spans="1:27" ht="13.5" thickBot="1" x14ac:dyDescent="0.25">
      <c r="A8" s="203"/>
      <c r="B8" s="208" t="s">
        <v>134</v>
      </c>
      <c r="C8" s="3" t="s">
        <v>27</v>
      </c>
      <c r="D8" s="4">
        <v>850</v>
      </c>
      <c r="E8" s="4">
        <v>1650</v>
      </c>
      <c r="F8" s="4"/>
      <c r="G8" s="4">
        <v>2075</v>
      </c>
      <c r="H8" s="4">
        <v>2600</v>
      </c>
      <c r="I8" s="4"/>
      <c r="J8" s="4"/>
      <c r="K8" s="4">
        <v>-300</v>
      </c>
      <c r="L8" s="4">
        <v>300</v>
      </c>
      <c r="M8" s="97">
        <v>18000</v>
      </c>
      <c r="N8" s="4"/>
      <c r="O8" s="4"/>
      <c r="P8" s="4"/>
      <c r="Q8" s="4"/>
      <c r="R8" s="4"/>
      <c r="S8" s="4"/>
      <c r="T8" s="3"/>
      <c r="U8" s="3"/>
      <c r="V8" s="76"/>
      <c r="W8" s="80"/>
      <c r="X8" s="129"/>
      <c r="Y8" s="139" t="str">
        <f>Forschungen!$D$20</f>
        <v>NU</v>
      </c>
    </row>
    <row r="9" spans="1:27" ht="13.5" thickBot="1" x14ac:dyDescent="0.25">
      <c r="A9" s="203"/>
      <c r="B9" s="207"/>
      <c r="C9" s="3" t="s">
        <v>28</v>
      </c>
      <c r="D9" s="4">
        <v>4050</v>
      </c>
      <c r="E9" s="4">
        <v>5200</v>
      </c>
      <c r="F9" s="4"/>
      <c r="G9" s="4">
        <v>7800</v>
      </c>
      <c r="H9" s="4">
        <v>6200</v>
      </c>
      <c r="I9" s="4"/>
      <c r="J9" s="4"/>
      <c r="K9" s="4">
        <v>-1500</v>
      </c>
      <c r="L9" s="4">
        <v>1500</v>
      </c>
      <c r="M9" s="97">
        <v>27000</v>
      </c>
      <c r="N9" s="4"/>
      <c r="O9" s="4"/>
      <c r="P9" s="4"/>
      <c r="Q9" s="4"/>
      <c r="R9" s="4"/>
      <c r="S9" s="4"/>
      <c r="T9" s="3"/>
      <c r="U9" s="3"/>
      <c r="V9" s="76"/>
      <c r="W9" s="80"/>
      <c r="X9" s="129"/>
      <c r="Y9" s="139" t="str">
        <f>Forschungen!$D$20</f>
        <v>NU</v>
      </c>
    </row>
    <row r="10" spans="1:27" ht="13.5" thickBot="1" x14ac:dyDescent="0.25">
      <c r="A10" s="203"/>
      <c r="B10" s="201"/>
      <c r="C10" s="3" t="s">
        <v>29</v>
      </c>
      <c r="D10" s="4">
        <v>31050</v>
      </c>
      <c r="E10" s="4">
        <v>45700</v>
      </c>
      <c r="F10" s="4"/>
      <c r="G10" s="4">
        <v>61500</v>
      </c>
      <c r="H10" s="4">
        <v>23400</v>
      </c>
      <c r="I10" s="4"/>
      <c r="J10" s="4"/>
      <c r="K10" s="4">
        <v>-7500</v>
      </c>
      <c r="L10" s="4">
        <v>7500</v>
      </c>
      <c r="M10" s="97">
        <v>54000</v>
      </c>
      <c r="N10" s="4"/>
      <c r="O10" s="4"/>
      <c r="P10" s="4"/>
      <c r="Q10" s="4"/>
      <c r="R10" s="4"/>
      <c r="S10" s="4"/>
      <c r="T10" s="3"/>
      <c r="U10" s="3"/>
      <c r="V10" s="76"/>
      <c r="W10" s="80"/>
      <c r="X10" s="129"/>
      <c r="Y10" s="139" t="str">
        <f>Forschungen!$D$20</f>
        <v>NU</v>
      </c>
    </row>
    <row r="11" spans="1:27" ht="13.5" thickBot="1" x14ac:dyDescent="0.25">
      <c r="A11" s="203"/>
      <c r="B11" s="208" t="s">
        <v>135</v>
      </c>
      <c r="C11" s="3" t="s">
        <v>30</v>
      </c>
      <c r="D11" s="4">
        <v>6800</v>
      </c>
      <c r="E11" s="4">
        <v>10300</v>
      </c>
      <c r="F11" s="4">
        <v>9500</v>
      </c>
      <c r="G11" s="4">
        <v>12800</v>
      </c>
      <c r="H11" s="4">
        <v>7200</v>
      </c>
      <c r="I11" s="4"/>
      <c r="J11" s="4"/>
      <c r="K11" s="4">
        <v>-300</v>
      </c>
      <c r="L11" s="4">
        <v>300</v>
      </c>
      <c r="M11" s="97">
        <v>28800</v>
      </c>
      <c r="N11" s="4"/>
      <c r="O11" s="4"/>
      <c r="P11" s="4"/>
      <c r="Q11" s="4"/>
      <c r="R11" s="4"/>
      <c r="S11" s="4"/>
      <c r="T11" s="3"/>
      <c r="U11" s="3"/>
      <c r="V11" s="76"/>
      <c r="W11" s="80"/>
      <c r="X11" s="129"/>
      <c r="Y11" s="139" t="str">
        <f>Forschungen!$D$10</f>
        <v>HA</v>
      </c>
    </row>
    <row r="12" spans="1:27" ht="13.5" thickBot="1" x14ac:dyDescent="0.25">
      <c r="A12" s="203"/>
      <c r="B12" s="207"/>
      <c r="C12" s="3" t="s">
        <v>31</v>
      </c>
      <c r="D12" s="4">
        <v>18200</v>
      </c>
      <c r="E12" s="4">
        <v>22500</v>
      </c>
      <c r="F12" s="4">
        <v>17250</v>
      </c>
      <c r="G12" s="4">
        <v>24600</v>
      </c>
      <c r="H12" s="4">
        <v>9600</v>
      </c>
      <c r="I12" s="4"/>
      <c r="J12" s="4"/>
      <c r="K12" s="4">
        <v>-1500</v>
      </c>
      <c r="L12" s="4">
        <v>1500</v>
      </c>
      <c r="M12" s="97">
        <v>43200</v>
      </c>
      <c r="N12" s="4"/>
      <c r="O12" s="4"/>
      <c r="P12" s="4"/>
      <c r="Q12" s="4"/>
      <c r="R12" s="4"/>
      <c r="S12" s="4"/>
      <c r="T12" s="3"/>
      <c r="U12" s="3"/>
      <c r="V12" s="76"/>
      <c r="W12" s="80"/>
      <c r="X12" s="129"/>
      <c r="Y12" s="139" t="str">
        <f>Forschungen!$D$10</f>
        <v>HA</v>
      </c>
    </row>
    <row r="13" spans="1:27" ht="13.5" thickBot="1" x14ac:dyDescent="0.25">
      <c r="A13" s="203"/>
      <c r="B13" s="201"/>
      <c r="C13" s="3" t="s">
        <v>32</v>
      </c>
      <c r="D13" s="4">
        <v>72700</v>
      </c>
      <c r="E13" s="4">
        <v>53500</v>
      </c>
      <c r="F13" s="4">
        <v>88510</v>
      </c>
      <c r="G13" s="4">
        <v>83000</v>
      </c>
      <c r="H13" s="4">
        <v>36850</v>
      </c>
      <c r="I13" s="4"/>
      <c r="J13" s="4"/>
      <c r="K13" s="4">
        <v>-7500</v>
      </c>
      <c r="L13" s="4">
        <v>7500</v>
      </c>
      <c r="M13" s="97">
        <v>86400</v>
      </c>
      <c r="N13" s="4"/>
      <c r="O13" s="4"/>
      <c r="P13" s="4"/>
      <c r="Q13" s="4"/>
      <c r="R13" s="4"/>
      <c r="S13" s="4"/>
      <c r="T13" s="3"/>
      <c r="U13" s="3"/>
      <c r="V13" s="76"/>
      <c r="W13" s="80"/>
      <c r="X13" s="129"/>
      <c r="Y13" s="139" t="str">
        <f>Forschungen!$D$10</f>
        <v>HA</v>
      </c>
    </row>
    <row r="14" spans="1:27" ht="13.5" thickBot="1" x14ac:dyDescent="0.25">
      <c r="A14" s="203"/>
      <c r="B14" s="39" t="s">
        <v>136</v>
      </c>
      <c r="C14" s="5" t="s">
        <v>33</v>
      </c>
      <c r="D14" s="6">
        <v>40500</v>
      </c>
      <c r="E14" s="6">
        <v>57500</v>
      </c>
      <c r="F14" s="6">
        <v>58900</v>
      </c>
      <c r="G14" s="6">
        <v>69000</v>
      </c>
      <c r="H14" s="6">
        <v>86850</v>
      </c>
      <c r="I14" s="6">
        <v>20700</v>
      </c>
      <c r="J14" s="6"/>
      <c r="K14" s="6">
        <v>-750</v>
      </c>
      <c r="L14" s="6">
        <v>10000</v>
      </c>
      <c r="M14" s="99">
        <v>129600</v>
      </c>
      <c r="N14" s="6"/>
      <c r="O14" s="6"/>
      <c r="P14" s="6"/>
      <c r="Q14" s="6"/>
      <c r="R14" s="6"/>
      <c r="S14" s="6"/>
      <c r="T14" s="5"/>
      <c r="U14" s="5"/>
      <c r="V14" s="78"/>
      <c r="W14" s="82"/>
      <c r="X14" s="131"/>
      <c r="Y14" s="141" t="str">
        <f>Forschungen!$D$7</f>
        <v>GA</v>
      </c>
    </row>
    <row r="15" spans="1:27" ht="12.75" customHeight="1" thickBot="1" x14ac:dyDescent="0.25">
      <c r="A15" s="203" t="s">
        <v>34</v>
      </c>
      <c r="B15" s="202" t="s">
        <v>35</v>
      </c>
      <c r="C15" s="1" t="s">
        <v>36</v>
      </c>
      <c r="D15" s="2">
        <v>350</v>
      </c>
      <c r="E15" s="2">
        <v>75</v>
      </c>
      <c r="F15" s="2"/>
      <c r="G15" s="2"/>
      <c r="H15" s="2"/>
      <c r="I15" s="2"/>
      <c r="J15" s="2"/>
      <c r="K15" s="2">
        <v>-350</v>
      </c>
      <c r="L15" s="2">
        <v>-25</v>
      </c>
      <c r="M15" s="98">
        <v>1800</v>
      </c>
      <c r="N15" s="2"/>
      <c r="O15" s="2"/>
      <c r="P15" s="2">
        <v>15</v>
      </c>
      <c r="Q15" s="14">
        <f>P15*(1+0.1*MAX(Forschungen!$C$5,0)+0.1*MAX(Forschungen!$C$16-1,0)+0.05*Forschungen!$C$23)</f>
        <v>15</v>
      </c>
      <c r="R15" s="2"/>
      <c r="S15" s="2"/>
      <c r="T15" s="1">
        <f t="shared" ref="T15:T39" si="0">SUM(D15:H15)+I15*10</f>
        <v>425</v>
      </c>
      <c r="U15" s="83">
        <f>(O15+Q15)/T15*1000</f>
        <v>35.294117647058826</v>
      </c>
      <c r="V15" s="86">
        <f t="shared" ref="V15:V24" si="1">(O15+Q15)*MIN(ROUNDDOWN(($K$2+$K$8)/K15*-1,0),ROUNDDOWN($L$8/L15*-1,0))</f>
        <v>30</v>
      </c>
      <c r="W15" s="86">
        <f t="shared" ref="W15:W23" si="2">(O15+Q15)*MIN(ROUNDDOWN(($K$3+$K$9)/K15*-1,0),ROUNDDOWN($L$9/L15*-1,0))</f>
        <v>150</v>
      </c>
      <c r="X15" s="132">
        <f t="shared" ref="X15:X23" si="3">(O15+Q15)*MIN(ROUNDDOWN(($K$4+$K$10)/K15*-1,0),ROUNDDOWN($L$10/L15*-1,0))</f>
        <v>750</v>
      </c>
      <c r="Y15" s="142" t="str">
        <f>_xlfn.TEXTJOIN(", ",TRUE,Forschungen!$D$5,Forschungen!$D$16,Forschungen!$D$23)</f>
        <v>EL, ME, SK</v>
      </c>
    </row>
    <row r="16" spans="1:27" ht="13.5" thickBot="1" x14ac:dyDescent="0.25">
      <c r="A16" s="203"/>
      <c r="B16" s="202"/>
      <c r="C16" s="3" t="s">
        <v>37</v>
      </c>
      <c r="D16" s="4">
        <v>2875</v>
      </c>
      <c r="E16" s="4">
        <v>719</v>
      </c>
      <c r="F16" s="4"/>
      <c r="G16" s="4"/>
      <c r="H16" s="4"/>
      <c r="I16" s="4"/>
      <c r="J16" s="4"/>
      <c r="K16" s="4">
        <v>-2000</v>
      </c>
      <c r="L16" s="4">
        <v>-150</v>
      </c>
      <c r="M16" s="97">
        <v>5400</v>
      </c>
      <c r="N16" s="4"/>
      <c r="O16" s="4"/>
      <c r="P16" s="4">
        <v>150</v>
      </c>
      <c r="Q16" s="4">
        <f>P16*(1+0.1*MAX(Forschungen!$C$5,0)+0.1*MAX(Forschungen!$C$16-6,0)+0.05*Forschungen!$C$23)</f>
        <v>150</v>
      </c>
      <c r="R16" s="4"/>
      <c r="S16" s="4"/>
      <c r="T16" s="3">
        <f t="shared" si="0"/>
        <v>3594</v>
      </c>
      <c r="U16" s="84">
        <f t="shared" ref="U16:U39" si="4">(O16+Q16)/T16*1000</f>
        <v>41.736227045075125</v>
      </c>
      <c r="V16" s="87">
        <f t="shared" si="1"/>
        <v>0</v>
      </c>
      <c r="W16" s="88">
        <f t="shared" si="2"/>
        <v>150</v>
      </c>
      <c r="X16" s="133">
        <f t="shared" si="3"/>
        <v>1200</v>
      </c>
      <c r="Y16" s="143" t="str">
        <f>_xlfn.TEXTJOIN(", ",TRUE,Forschungen!$D$5,Forschungen!$D$16,Forschungen!$D$23)</f>
        <v>EL, ME, SK</v>
      </c>
    </row>
    <row r="17" spans="1:25" ht="13.5" thickBot="1" x14ac:dyDescent="0.25">
      <c r="A17" s="203"/>
      <c r="B17" s="202"/>
      <c r="C17" s="3" t="s">
        <v>38</v>
      </c>
      <c r="D17" s="4">
        <v>14375</v>
      </c>
      <c r="E17" s="4">
        <v>3594</v>
      </c>
      <c r="F17" s="4"/>
      <c r="G17" s="4"/>
      <c r="H17" s="4"/>
      <c r="I17" s="4"/>
      <c r="J17" s="4"/>
      <c r="K17" s="4">
        <v>-9000</v>
      </c>
      <c r="L17" s="4">
        <v>-900</v>
      </c>
      <c r="M17" s="97">
        <v>27000</v>
      </c>
      <c r="N17" s="4"/>
      <c r="O17" s="4"/>
      <c r="P17" s="4">
        <v>850</v>
      </c>
      <c r="Q17" s="15">
        <f>P17*(1+0.1*MAX(Forschungen!$C$5-3,0)+0.1*MAX(Forschungen!$C$16-8,0)+0.05*Forschungen!$C$23)</f>
        <v>850</v>
      </c>
      <c r="R17" s="4"/>
      <c r="S17" s="4"/>
      <c r="T17" s="3">
        <f t="shared" si="0"/>
        <v>17969</v>
      </c>
      <c r="U17" s="84">
        <f t="shared" si="4"/>
        <v>47.303689687795647</v>
      </c>
      <c r="V17" s="87">
        <f t="shared" si="1"/>
        <v>0</v>
      </c>
      <c r="W17" s="88">
        <f t="shared" si="2"/>
        <v>0</v>
      </c>
      <c r="X17" s="133">
        <f t="shared" si="3"/>
        <v>850</v>
      </c>
      <c r="Y17" s="143" t="str">
        <f>_xlfn.TEXTJOIN(", ",TRUE,Forschungen!$D$5,Forschungen!$D$16,Forschungen!$D$23)</f>
        <v>EL, ME, SK</v>
      </c>
    </row>
    <row r="18" spans="1:25" ht="13.5" thickBot="1" x14ac:dyDescent="0.25">
      <c r="A18" s="203"/>
      <c r="B18" s="204" t="s">
        <v>39</v>
      </c>
      <c r="C18" s="3" t="s">
        <v>40</v>
      </c>
      <c r="D18" s="4">
        <v>500</v>
      </c>
      <c r="E18" s="4"/>
      <c r="F18" s="4">
        <v>500</v>
      </c>
      <c r="G18" s="4"/>
      <c r="H18" s="4"/>
      <c r="I18" s="4"/>
      <c r="J18" s="4"/>
      <c r="K18" s="4">
        <v>-150</v>
      </c>
      <c r="L18" s="4">
        <v>-25</v>
      </c>
      <c r="M18" s="97">
        <v>2700</v>
      </c>
      <c r="N18" s="4"/>
      <c r="O18" s="4"/>
      <c r="P18" s="4">
        <v>20</v>
      </c>
      <c r="Q18" s="4">
        <f>P18*(1+0.1*MAX(Forschungen!$C$18,0)+0.1*MAX(Forschungen!$C$19-1,0)+0.05*Forschungen!$C$23)</f>
        <v>20</v>
      </c>
      <c r="R18" s="4"/>
      <c r="S18" s="4"/>
      <c r="T18" s="3">
        <f t="shared" si="0"/>
        <v>1000</v>
      </c>
      <c r="U18" s="84">
        <f t="shared" si="4"/>
        <v>20</v>
      </c>
      <c r="V18" s="87">
        <f t="shared" si="1"/>
        <v>80</v>
      </c>
      <c r="W18" s="88">
        <f t="shared" si="2"/>
        <v>460</v>
      </c>
      <c r="X18" s="133">
        <f t="shared" si="3"/>
        <v>2320</v>
      </c>
      <c r="Y18" s="143" t="str">
        <f>_xlfn.TEXTJOIN(", ",TRUE,Forschungen!$D$18,Forschungen!$D$19,Forschungen!$D$23)</f>
        <v>NS, NT, SK</v>
      </c>
    </row>
    <row r="19" spans="1:25" ht="13.5" thickBot="1" x14ac:dyDescent="0.25">
      <c r="A19" s="203"/>
      <c r="B19" s="204"/>
      <c r="C19" s="3" t="s">
        <v>41</v>
      </c>
      <c r="D19" s="4">
        <v>4500</v>
      </c>
      <c r="E19" s="4"/>
      <c r="F19" s="4">
        <v>4500</v>
      </c>
      <c r="G19" s="4"/>
      <c r="H19" s="4"/>
      <c r="I19" s="4"/>
      <c r="J19" s="4"/>
      <c r="K19" s="4">
        <v>-875</v>
      </c>
      <c r="L19" s="4">
        <v>-125</v>
      </c>
      <c r="M19" s="97">
        <v>8100</v>
      </c>
      <c r="N19" s="4"/>
      <c r="O19" s="4"/>
      <c r="P19" s="4">
        <v>150</v>
      </c>
      <c r="Q19" s="4">
        <f>P19*(1+0.1*MAX(Forschungen!$C$18,0)+0.1*MAX(Forschungen!$C$19-4,0)+0.05*Forschungen!$C$23)</f>
        <v>150</v>
      </c>
      <c r="R19" s="4"/>
      <c r="S19" s="4"/>
      <c r="T19" s="3">
        <f t="shared" si="0"/>
        <v>9000</v>
      </c>
      <c r="U19" s="84">
        <f t="shared" si="4"/>
        <v>16.666666666666668</v>
      </c>
      <c r="V19" s="87">
        <f t="shared" si="1"/>
        <v>0</v>
      </c>
      <c r="W19" s="88">
        <f t="shared" si="2"/>
        <v>600</v>
      </c>
      <c r="X19" s="133">
        <f t="shared" si="3"/>
        <v>3000</v>
      </c>
      <c r="Y19" s="143" t="str">
        <f>_xlfn.TEXTJOIN(", ",TRUE,Forschungen!$D$18,Forschungen!$D$19,Forschungen!$D$23)</f>
        <v>NS, NT, SK</v>
      </c>
    </row>
    <row r="20" spans="1:25" ht="13.5" thickBot="1" x14ac:dyDescent="0.25">
      <c r="A20" s="203"/>
      <c r="B20" s="204"/>
      <c r="C20" s="3" t="s">
        <v>42</v>
      </c>
      <c r="D20" s="4">
        <v>22500</v>
      </c>
      <c r="E20" s="4"/>
      <c r="F20" s="4">
        <v>22500</v>
      </c>
      <c r="G20" s="4"/>
      <c r="H20" s="4"/>
      <c r="I20" s="4"/>
      <c r="J20" s="4"/>
      <c r="K20" s="4">
        <v>-3000</v>
      </c>
      <c r="L20" s="4">
        <v>-450</v>
      </c>
      <c r="M20" s="97">
        <v>24300</v>
      </c>
      <c r="N20" s="4"/>
      <c r="O20" s="4"/>
      <c r="P20" s="4">
        <v>750</v>
      </c>
      <c r="Q20" s="4">
        <f>P20*(1+0.1*MAX(Forschungen!$C$18-1,0)+0.1*MAX(Forschungen!$C$19-7,0)+0.05*Forschungen!$C$23)</f>
        <v>750</v>
      </c>
      <c r="R20" s="4"/>
      <c r="S20" s="4"/>
      <c r="T20" s="3">
        <f t="shared" si="0"/>
        <v>45000</v>
      </c>
      <c r="U20" s="84">
        <f t="shared" si="4"/>
        <v>16.666666666666668</v>
      </c>
      <c r="V20" s="87">
        <f t="shared" si="1"/>
        <v>0</v>
      </c>
      <c r="W20" s="88">
        <f t="shared" si="2"/>
        <v>750</v>
      </c>
      <c r="X20" s="133">
        <f t="shared" si="3"/>
        <v>3750</v>
      </c>
      <c r="Y20" s="143" t="str">
        <f>_xlfn.TEXTJOIN(", ",TRUE,Forschungen!$D$18,Forschungen!$D$19,Forschungen!$D$23)</f>
        <v>NS, NT, SK</v>
      </c>
    </row>
    <row r="21" spans="1:25" ht="13.5" thickBot="1" x14ac:dyDescent="0.25">
      <c r="A21" s="203"/>
      <c r="B21" s="204" t="s">
        <v>43</v>
      </c>
      <c r="C21" s="3" t="s">
        <v>44</v>
      </c>
      <c r="D21" s="4">
        <v>300</v>
      </c>
      <c r="E21" s="4">
        <v>750</v>
      </c>
      <c r="F21" s="4"/>
      <c r="G21" s="4"/>
      <c r="H21" s="4"/>
      <c r="I21" s="4"/>
      <c r="J21" s="4"/>
      <c r="K21" s="4">
        <v>-50</v>
      </c>
      <c r="L21" s="4">
        <v>-110</v>
      </c>
      <c r="M21" s="97">
        <v>3600</v>
      </c>
      <c r="N21" s="4"/>
      <c r="O21" s="4"/>
      <c r="P21" s="4">
        <v>20</v>
      </c>
      <c r="Q21" s="4">
        <f>P21*(1+0.1*MAX(Forschungen!$C$4-2,0)+0.1*MAX(Forschungen!$C$24,0)+0.05*Forschungen!$C$23)</f>
        <v>20</v>
      </c>
      <c r="R21" s="4"/>
      <c r="S21" s="4"/>
      <c r="T21" s="3">
        <f t="shared" si="0"/>
        <v>1050</v>
      </c>
      <c r="U21" s="84">
        <f t="shared" si="4"/>
        <v>19.047619047619051</v>
      </c>
      <c r="V21" s="87">
        <f t="shared" si="1"/>
        <v>40</v>
      </c>
      <c r="W21" s="88">
        <f t="shared" si="2"/>
        <v>260</v>
      </c>
      <c r="X21" s="133">
        <f t="shared" si="3"/>
        <v>1360</v>
      </c>
      <c r="Y21" s="143" t="str">
        <f>_xlfn.TEXTJOIN(", ",TRUE,Forschungen!$D$4,Forschungen!$D$24,Forschungen!$D$23)</f>
        <v>EB, SF, SK</v>
      </c>
    </row>
    <row r="22" spans="1:25" ht="13.5" thickBot="1" x14ac:dyDescent="0.25">
      <c r="A22" s="203"/>
      <c r="B22" s="204"/>
      <c r="C22" s="3" t="s">
        <v>45</v>
      </c>
      <c r="D22" s="4">
        <v>3000</v>
      </c>
      <c r="E22" s="4">
        <v>7500</v>
      </c>
      <c r="F22" s="4"/>
      <c r="G22" s="4"/>
      <c r="H22" s="4"/>
      <c r="I22" s="4"/>
      <c r="J22" s="4"/>
      <c r="K22" s="4">
        <v>-225</v>
      </c>
      <c r="L22" s="4">
        <v>-500</v>
      </c>
      <c r="M22" s="97">
        <v>10800</v>
      </c>
      <c r="N22" s="4"/>
      <c r="O22" s="4"/>
      <c r="P22" s="4">
        <v>180</v>
      </c>
      <c r="Q22" s="4">
        <f>P22*(1+0.1*MAX(Forschungen!$C$4-6,0)+0.1*MAX(Forschungen!$C$24-1,0)+0.05*Forschungen!$C$23)</f>
        <v>180</v>
      </c>
      <c r="R22" s="4"/>
      <c r="S22" s="4"/>
      <c r="T22" s="3">
        <f t="shared" si="0"/>
        <v>10500</v>
      </c>
      <c r="U22" s="84">
        <f t="shared" si="4"/>
        <v>17.142857142857142</v>
      </c>
      <c r="V22" s="87">
        <f t="shared" si="1"/>
        <v>0</v>
      </c>
      <c r="W22" s="88">
        <f t="shared" si="2"/>
        <v>540</v>
      </c>
      <c r="X22" s="133">
        <f t="shared" si="3"/>
        <v>2700</v>
      </c>
      <c r="Y22" s="143" t="str">
        <f>_xlfn.TEXTJOIN(", ",TRUE,Forschungen!$D$4,Forschungen!$D$24,Forschungen!$D$23)</f>
        <v>EB, SF, SK</v>
      </c>
    </row>
    <row r="23" spans="1:25" ht="13.5" thickBot="1" x14ac:dyDescent="0.25">
      <c r="A23" s="203"/>
      <c r="B23" s="204"/>
      <c r="C23" s="3" t="s">
        <v>46</v>
      </c>
      <c r="D23" s="4">
        <v>12000</v>
      </c>
      <c r="E23" s="4">
        <v>30000</v>
      </c>
      <c r="F23" s="4"/>
      <c r="G23" s="4"/>
      <c r="H23" s="4"/>
      <c r="I23" s="4"/>
      <c r="J23" s="4"/>
      <c r="K23" s="4">
        <v>-750</v>
      </c>
      <c r="L23" s="4">
        <v>-2100</v>
      </c>
      <c r="M23" s="97">
        <v>43200</v>
      </c>
      <c r="N23" s="4"/>
      <c r="O23" s="4"/>
      <c r="P23" s="4">
        <v>950</v>
      </c>
      <c r="Q23" s="4">
        <f>P23*(1+0.1*MAX(Forschungen!$C$4-6,0)+0.1*MAX(Forschungen!$C$24-5,0)+0.05*Forschungen!$C$23)</f>
        <v>950</v>
      </c>
      <c r="R23" s="4"/>
      <c r="S23" s="4"/>
      <c r="T23" s="3">
        <f t="shared" si="0"/>
        <v>42000</v>
      </c>
      <c r="U23" s="84">
        <f t="shared" si="4"/>
        <v>22.619047619047617</v>
      </c>
      <c r="V23" s="87">
        <f t="shared" si="1"/>
        <v>0</v>
      </c>
      <c r="W23" s="88">
        <f t="shared" si="2"/>
        <v>0</v>
      </c>
      <c r="X23" s="133">
        <f t="shared" si="3"/>
        <v>2850</v>
      </c>
      <c r="Y23" s="143" t="str">
        <f>_xlfn.TEXTJOIN(", ",TRUE,Forschungen!$D$4,Forschungen!$D$24,Forschungen!$D$23)</f>
        <v>EB, SF, SK</v>
      </c>
    </row>
    <row r="24" spans="1:25" ht="13.5" thickBot="1" x14ac:dyDescent="0.25">
      <c r="A24" s="203"/>
      <c r="B24" s="205" t="s">
        <v>47</v>
      </c>
      <c r="C24" s="3" t="s">
        <v>48</v>
      </c>
      <c r="D24" s="4">
        <v>600</v>
      </c>
      <c r="E24" s="4">
        <v>2000</v>
      </c>
      <c r="F24" s="4">
        <v>1400</v>
      </c>
      <c r="G24" s="4"/>
      <c r="H24" s="4"/>
      <c r="I24" s="4">
        <v>250</v>
      </c>
      <c r="J24" s="4"/>
      <c r="K24" s="4">
        <v>-325</v>
      </c>
      <c r="L24" s="4">
        <v>-100</v>
      </c>
      <c r="M24" s="97">
        <v>9000</v>
      </c>
      <c r="N24" s="4"/>
      <c r="O24" s="4"/>
      <c r="P24" s="4">
        <v>175</v>
      </c>
      <c r="Q24" s="4">
        <f>P24*(1+0.1*MAX(Forschungen!$C$9-1,0)+0.1*MAX(Forschungen!$C$30,0)+0.05*Forschungen!$C$23)</f>
        <v>175</v>
      </c>
      <c r="R24" s="4"/>
      <c r="S24" s="4"/>
      <c r="T24" s="3">
        <f t="shared" si="0"/>
        <v>6500</v>
      </c>
      <c r="U24" s="84">
        <f t="shared" si="4"/>
        <v>26.923076923076923</v>
      </c>
      <c r="V24" s="87">
        <f t="shared" si="1"/>
        <v>350</v>
      </c>
      <c r="W24" s="89" t="s">
        <v>151</v>
      </c>
      <c r="X24" s="134" t="s">
        <v>151</v>
      </c>
      <c r="Y24" s="144" t="str">
        <f>_xlfn.TEXTJOIN(", ",TRUE,Forschungen!$D$9,Forschungen!$D$30,Forschungen!$D$23)</f>
        <v>HT, TE, SK</v>
      </c>
    </row>
    <row r="25" spans="1:25" ht="13.5" thickBot="1" x14ac:dyDescent="0.25">
      <c r="A25" s="203"/>
      <c r="B25" s="205"/>
      <c r="C25" s="3" t="s">
        <v>49</v>
      </c>
      <c r="D25" s="4">
        <v>3500</v>
      </c>
      <c r="E25" s="4">
        <v>12000</v>
      </c>
      <c r="F25" s="4">
        <v>8000</v>
      </c>
      <c r="G25" s="4"/>
      <c r="H25" s="4"/>
      <c r="I25" s="4">
        <v>1500</v>
      </c>
      <c r="J25" s="4"/>
      <c r="K25" s="4">
        <v>-1250</v>
      </c>
      <c r="L25" s="4">
        <v>-520</v>
      </c>
      <c r="M25" s="97">
        <v>23400</v>
      </c>
      <c r="N25" s="4"/>
      <c r="O25" s="4"/>
      <c r="P25" s="4">
        <v>750</v>
      </c>
      <c r="Q25" s="4">
        <f>P25*(1+0.1*MAX(Forschungen!$C$9-3,0)+0.1*MAX(Forschungen!$C$30,0)+0.05*Forschungen!$C$23)</f>
        <v>750</v>
      </c>
      <c r="R25" s="4"/>
      <c r="S25" s="4"/>
      <c r="T25" s="3">
        <f t="shared" si="0"/>
        <v>38500</v>
      </c>
      <c r="U25" s="84">
        <f t="shared" si="4"/>
        <v>19.480519480519479</v>
      </c>
      <c r="V25" s="94" t="s">
        <v>151</v>
      </c>
      <c r="W25" s="88">
        <f>(O25+Q25)*MIN(ROUNDDOWN(($K$3+$K$9)/K25*-1,0),ROUNDDOWN($L$9/L25*-1,0))</f>
        <v>1500</v>
      </c>
      <c r="X25" s="134" t="s">
        <v>151</v>
      </c>
      <c r="Y25" s="144" t="str">
        <f>_xlfn.TEXTJOIN(", ",TRUE,Forschungen!$D$9,Forschungen!$D$30,Forschungen!$D$23)</f>
        <v>HT, TE, SK</v>
      </c>
    </row>
    <row r="26" spans="1:25" ht="13.5" thickBot="1" x14ac:dyDescent="0.25">
      <c r="A26" s="203"/>
      <c r="B26" s="205"/>
      <c r="C26" s="5" t="s">
        <v>50</v>
      </c>
      <c r="D26" s="6">
        <v>46000</v>
      </c>
      <c r="E26" s="6">
        <v>80500</v>
      </c>
      <c r="F26" s="6">
        <v>40250</v>
      </c>
      <c r="G26" s="6"/>
      <c r="H26" s="6"/>
      <c r="I26" s="6">
        <v>17250</v>
      </c>
      <c r="J26" s="6"/>
      <c r="K26" s="6">
        <v>-5000</v>
      </c>
      <c r="L26" s="6">
        <v>-5000</v>
      </c>
      <c r="M26" s="99">
        <v>70200</v>
      </c>
      <c r="N26" s="6"/>
      <c r="O26" s="6"/>
      <c r="P26" s="6">
        <v>8000</v>
      </c>
      <c r="Q26" s="4">
        <f>P26*(1+0.1*MAX(Forschungen!C9-3,0)+0.1*MAX(Forschungen!C30-3,0)+0.1*MAX(Forschungen!C4-8,0)+0.05*Forschungen!C23)</f>
        <v>8000</v>
      </c>
      <c r="R26" s="6"/>
      <c r="S26" s="6"/>
      <c r="T26" s="5">
        <f t="shared" si="0"/>
        <v>339250</v>
      </c>
      <c r="U26" s="85">
        <f t="shared" si="4"/>
        <v>23.581429624170966</v>
      </c>
      <c r="V26" s="95" t="s">
        <v>151</v>
      </c>
      <c r="W26" s="91" t="s">
        <v>151</v>
      </c>
      <c r="X26" s="135">
        <f t="shared" ref="X26:X39" si="5">(O26+Q26)*MIN(ROUNDDOWN(($K$4+$K$10)/K26*-1,0),ROUNDDOWN($L$10/L26*-1,0))</f>
        <v>8000</v>
      </c>
      <c r="Y26" s="144" t="str">
        <f>_xlfn.TEXTJOIN(", ",TRUE,Forschungen!$D$4,Forschungen!$D$9,Forschungen!$D$30,Forschungen!$D$23)</f>
        <v>EB, HT, TE, SK</v>
      </c>
    </row>
    <row r="27" spans="1:25" ht="12.75" customHeight="1" thickBot="1" x14ac:dyDescent="0.25">
      <c r="A27" s="203" t="s">
        <v>51</v>
      </c>
      <c r="B27" s="30" t="s">
        <v>52</v>
      </c>
      <c r="C27" s="1" t="s">
        <v>53</v>
      </c>
      <c r="D27" s="2">
        <v>150</v>
      </c>
      <c r="E27" s="2">
        <v>75</v>
      </c>
      <c r="F27" s="2"/>
      <c r="G27" s="2"/>
      <c r="H27" s="2"/>
      <c r="I27" s="2"/>
      <c r="J27" s="2"/>
      <c r="K27" s="2">
        <v>-75</v>
      </c>
      <c r="L27" s="2">
        <v>-75</v>
      </c>
      <c r="M27" s="98">
        <v>900</v>
      </c>
      <c r="N27" s="2">
        <v>5</v>
      </c>
      <c r="O27" s="2">
        <f>N27*(1+0.05*Forschungen!C23)</f>
        <v>5</v>
      </c>
      <c r="P27" s="2"/>
      <c r="Q27" s="2"/>
      <c r="R27" s="2"/>
      <c r="S27" s="2"/>
      <c r="T27" s="1">
        <f t="shared" si="0"/>
        <v>225</v>
      </c>
      <c r="U27" s="83">
        <f t="shared" si="4"/>
        <v>22.222222222222221</v>
      </c>
      <c r="V27" s="92">
        <f t="shared" ref="V27:V39" si="6">(O27+Q27)*MIN(ROUNDDOWN(($K$2+$K$8)/K27*-1,0),ROUNDDOWN($L$8/L27*-1,0))</f>
        <v>20</v>
      </c>
      <c r="W27" s="86">
        <f t="shared" ref="W27:W39" si="7">(O27+Q27)*MIN(ROUNDDOWN(($K$3+$K$9)/K27*-1,0),ROUNDDOWN($L$9/L27*-1,0))</f>
        <v>100</v>
      </c>
      <c r="X27" s="132">
        <f t="shared" si="5"/>
        <v>500</v>
      </c>
      <c r="Y27" s="142" t="str">
        <f>Forschungen!$D$23</f>
        <v>SK</v>
      </c>
    </row>
    <row r="28" spans="1:25" ht="13.5" thickBot="1" x14ac:dyDescent="0.25">
      <c r="A28" s="203"/>
      <c r="B28" s="204" t="s">
        <v>54</v>
      </c>
      <c r="C28" s="3" t="s">
        <v>55</v>
      </c>
      <c r="D28" s="4">
        <v>137</v>
      </c>
      <c r="E28" s="4">
        <v>374</v>
      </c>
      <c r="F28" s="4"/>
      <c r="G28" s="4"/>
      <c r="H28" s="4"/>
      <c r="I28" s="4"/>
      <c r="J28" s="4"/>
      <c r="K28" s="4">
        <v>-50</v>
      </c>
      <c r="L28" s="4">
        <v>-125</v>
      </c>
      <c r="M28" s="97">
        <v>4800</v>
      </c>
      <c r="N28" s="4">
        <v>18</v>
      </c>
      <c r="O28" s="4">
        <f>N28*(1+0.1*MAX(Forschungen!$C$4-1,0)+0.1*MAX(Forschungen!$C$27,0)+0.05*Forschungen!$C$23)</f>
        <v>18</v>
      </c>
      <c r="P28" s="4"/>
      <c r="Q28" s="4"/>
      <c r="R28" s="4"/>
      <c r="S28" s="4"/>
      <c r="T28" s="3">
        <f t="shared" si="0"/>
        <v>511</v>
      </c>
      <c r="U28" s="84">
        <f t="shared" si="4"/>
        <v>35.225048923679061</v>
      </c>
      <c r="V28" s="87">
        <f t="shared" si="6"/>
        <v>36</v>
      </c>
      <c r="W28" s="88">
        <f t="shared" si="7"/>
        <v>216</v>
      </c>
      <c r="X28" s="133">
        <f t="shared" si="5"/>
        <v>1080</v>
      </c>
      <c r="Y28" s="143" t="str">
        <f>_xlfn.TEXTJOIN(", ",TRUE,Forschungen!$D$4,Forschungen!$D$27,Forschungen!$D$23)</f>
        <v>EB, ST, SK</v>
      </c>
    </row>
    <row r="29" spans="1:25" ht="13.5" thickBot="1" x14ac:dyDescent="0.25">
      <c r="A29" s="203"/>
      <c r="B29" s="204"/>
      <c r="C29" s="3" t="s">
        <v>56</v>
      </c>
      <c r="D29" s="4">
        <v>863</v>
      </c>
      <c r="E29" s="4">
        <v>2070</v>
      </c>
      <c r="F29" s="4"/>
      <c r="G29" s="4"/>
      <c r="H29" s="4"/>
      <c r="I29" s="4"/>
      <c r="J29" s="4"/>
      <c r="K29" s="4">
        <v>-100</v>
      </c>
      <c r="L29" s="4">
        <v>-400</v>
      </c>
      <c r="M29" s="97">
        <v>10800</v>
      </c>
      <c r="N29" s="4">
        <v>100</v>
      </c>
      <c r="O29" s="4">
        <f>N29*(1+0.1*MAX(Forschungen!$C$4-7,0)+0.1*MAX(Forschungen!$C$27,0)+0.05*Forschungen!$C$23)</f>
        <v>100</v>
      </c>
      <c r="P29" s="4"/>
      <c r="Q29" s="4"/>
      <c r="R29" s="4"/>
      <c r="S29" s="4"/>
      <c r="T29" s="3">
        <f t="shared" si="0"/>
        <v>2933</v>
      </c>
      <c r="U29" s="84">
        <f t="shared" si="4"/>
        <v>34.094783498124791</v>
      </c>
      <c r="V29" s="87">
        <f t="shared" si="6"/>
        <v>0</v>
      </c>
      <c r="W29" s="88">
        <f t="shared" si="7"/>
        <v>300</v>
      </c>
      <c r="X29" s="133">
        <f t="shared" si="5"/>
        <v>1800</v>
      </c>
      <c r="Y29" s="143" t="str">
        <f>_xlfn.TEXTJOIN(", ",TRUE,Forschungen!$D$4,Forschungen!$D$27,Forschungen!$D$23)</f>
        <v>EB, ST, SK</v>
      </c>
    </row>
    <row r="30" spans="1:25" ht="13.5" thickBot="1" x14ac:dyDescent="0.25">
      <c r="A30" s="203"/>
      <c r="B30" s="204"/>
      <c r="C30" s="3" t="s">
        <v>57</v>
      </c>
      <c r="D30" s="4">
        <v>3000</v>
      </c>
      <c r="E30" s="4">
        <v>10000</v>
      </c>
      <c r="F30" s="4"/>
      <c r="G30" s="4"/>
      <c r="H30" s="4"/>
      <c r="I30" s="4"/>
      <c r="J30" s="4"/>
      <c r="K30" s="4">
        <v>-200</v>
      </c>
      <c r="L30" s="4">
        <v>-1250</v>
      </c>
      <c r="M30" s="97">
        <v>32400</v>
      </c>
      <c r="N30" s="4">
        <v>570</v>
      </c>
      <c r="O30" s="4">
        <f>N30*(1+0.1*MAX(Forschungen!$C$4-10,0)+0.1*MAX(Forschungen!$C$27-3,0)+0.05*Forschungen!$C$23)</f>
        <v>570</v>
      </c>
      <c r="P30" s="4"/>
      <c r="Q30" s="4"/>
      <c r="R30" s="4"/>
      <c r="S30" s="4"/>
      <c r="T30" s="3">
        <f t="shared" si="0"/>
        <v>13000</v>
      </c>
      <c r="U30" s="84">
        <f t="shared" si="4"/>
        <v>43.846153846153847</v>
      </c>
      <c r="V30" s="87">
        <f t="shared" si="6"/>
        <v>0</v>
      </c>
      <c r="W30" s="88">
        <f t="shared" si="7"/>
        <v>570</v>
      </c>
      <c r="X30" s="133">
        <f t="shared" si="5"/>
        <v>3420</v>
      </c>
      <c r="Y30" s="143" t="str">
        <f>_xlfn.TEXTJOIN(", ",TRUE,Forschungen!$D$4,Forschungen!$D$27,Forschungen!$D$23)</f>
        <v>EB, ST, SK</v>
      </c>
    </row>
    <row r="31" spans="1:25" ht="13.5" thickBot="1" x14ac:dyDescent="0.25">
      <c r="A31" s="203"/>
      <c r="B31" s="31" t="s">
        <v>58</v>
      </c>
      <c r="C31" s="3" t="s">
        <v>58</v>
      </c>
      <c r="D31" s="4"/>
      <c r="E31" s="4"/>
      <c r="F31" s="4"/>
      <c r="G31" s="4">
        <v>400</v>
      </c>
      <c r="H31" s="4">
        <v>225</v>
      </c>
      <c r="I31" s="4"/>
      <c r="J31" s="4"/>
      <c r="K31" s="4">
        <v>-250</v>
      </c>
      <c r="L31" s="4">
        <v>-75</v>
      </c>
      <c r="M31" s="97">
        <v>3600</v>
      </c>
      <c r="N31" s="4">
        <v>25</v>
      </c>
      <c r="O31" s="4">
        <f>N31*(1+0.1*MAX(Forschungen!$C$22,0)+0.1*MAX(Forschungen!$C$31-2,0)+0.05*Forschungen!$C$23)</f>
        <v>25</v>
      </c>
      <c r="P31" s="4"/>
      <c r="Q31" s="4"/>
      <c r="R31" s="4"/>
      <c r="S31" s="4"/>
      <c r="T31" s="3">
        <f t="shared" si="0"/>
        <v>625</v>
      </c>
      <c r="U31" s="84">
        <f t="shared" si="4"/>
        <v>40</v>
      </c>
      <c r="V31" s="87">
        <f t="shared" si="6"/>
        <v>50</v>
      </c>
      <c r="W31" s="88">
        <f t="shared" si="7"/>
        <v>350</v>
      </c>
      <c r="X31" s="133">
        <f t="shared" si="5"/>
        <v>1750</v>
      </c>
      <c r="Y31" s="143" t="str">
        <f>_xlfn.TEXTJOIN(", ",TRUE,Forschungen!$D$22,Forschungen!$D$31,Forschungen!$D$23)</f>
        <v>RF, VB, SK</v>
      </c>
    </row>
    <row r="32" spans="1:25" ht="13.5" thickBot="1" x14ac:dyDescent="0.25">
      <c r="A32" s="203"/>
      <c r="B32" s="204" t="s">
        <v>59</v>
      </c>
      <c r="C32" s="3" t="s">
        <v>60</v>
      </c>
      <c r="D32" s="4"/>
      <c r="E32" s="4"/>
      <c r="F32" s="4">
        <v>325</v>
      </c>
      <c r="G32" s="4"/>
      <c r="H32" s="4">
        <v>325</v>
      </c>
      <c r="I32" s="4"/>
      <c r="J32" s="4"/>
      <c r="K32" s="4">
        <v>-200</v>
      </c>
      <c r="L32" s="4">
        <v>-100</v>
      </c>
      <c r="M32" s="97">
        <v>7200</v>
      </c>
      <c r="N32" s="4">
        <v>25</v>
      </c>
      <c r="O32" s="4">
        <f>N32*(1+0.1*MAX(Forschungen!$C$13-5,0)+0.1*MAX(Forschungen!$C$21,0)+0.05*Forschungen!$C$23)</f>
        <v>25</v>
      </c>
      <c r="P32" s="4"/>
      <c r="Q32" s="4"/>
      <c r="R32" s="4"/>
      <c r="S32" s="4"/>
      <c r="T32" s="3">
        <f t="shared" si="0"/>
        <v>650</v>
      </c>
      <c r="U32" s="84">
        <f t="shared" si="4"/>
        <v>38.461538461538467</v>
      </c>
      <c r="V32" s="87">
        <f t="shared" si="6"/>
        <v>75</v>
      </c>
      <c r="W32" s="88">
        <f t="shared" si="7"/>
        <v>375</v>
      </c>
      <c r="X32" s="133">
        <f t="shared" si="5"/>
        <v>1875</v>
      </c>
      <c r="Y32" s="143" t="str">
        <f>_xlfn.TEXTJOIN(", ",TRUE,Forschungen!$D$13,Forschungen!$D$21,Forschungen!$D$23)</f>
        <v>IO, PF, SK</v>
      </c>
    </row>
    <row r="33" spans="1:25" ht="13.5" thickBot="1" x14ac:dyDescent="0.25">
      <c r="A33" s="203"/>
      <c r="B33" s="204"/>
      <c r="C33" s="3" t="s">
        <v>61</v>
      </c>
      <c r="D33" s="4"/>
      <c r="E33" s="4"/>
      <c r="F33" s="4">
        <v>1725</v>
      </c>
      <c r="G33" s="4"/>
      <c r="H33" s="4">
        <v>1725</v>
      </c>
      <c r="I33" s="4"/>
      <c r="J33" s="4"/>
      <c r="K33" s="4">
        <v>-450</v>
      </c>
      <c r="L33" s="4">
        <v>-300</v>
      </c>
      <c r="M33" s="97">
        <v>21600</v>
      </c>
      <c r="N33" s="4">
        <v>115</v>
      </c>
      <c r="O33" s="4">
        <f>N33*(1+0.1*MAX(Forschungen!$C$13-8,0)+0.1*MAX(Forschungen!$C$21-1,0)+0.05*Forschungen!$C$23)</f>
        <v>115</v>
      </c>
      <c r="P33" s="4"/>
      <c r="Q33" s="4"/>
      <c r="R33" s="4"/>
      <c r="S33" s="4"/>
      <c r="T33" s="3">
        <f t="shared" si="0"/>
        <v>3450</v>
      </c>
      <c r="U33" s="84">
        <f t="shared" si="4"/>
        <v>33.333333333333336</v>
      </c>
      <c r="V33" s="87">
        <f t="shared" si="6"/>
        <v>115</v>
      </c>
      <c r="W33" s="88">
        <f t="shared" si="7"/>
        <v>575</v>
      </c>
      <c r="X33" s="133">
        <f t="shared" si="5"/>
        <v>2875</v>
      </c>
      <c r="Y33" s="143" t="str">
        <f>_xlfn.TEXTJOIN(", ",TRUE,Forschungen!$D$13,Forschungen!$D$21,Forschungen!$D$23)</f>
        <v>IO, PF, SK</v>
      </c>
    </row>
    <row r="34" spans="1:25" ht="13.5" thickBot="1" x14ac:dyDescent="0.25">
      <c r="A34" s="203"/>
      <c r="B34" s="204"/>
      <c r="C34" s="3" t="s">
        <v>62</v>
      </c>
      <c r="D34" s="4"/>
      <c r="E34" s="4"/>
      <c r="F34" s="4">
        <v>10000</v>
      </c>
      <c r="G34" s="4"/>
      <c r="H34" s="4">
        <v>10000</v>
      </c>
      <c r="I34" s="4"/>
      <c r="J34" s="4"/>
      <c r="K34" s="4">
        <v>-2000</v>
      </c>
      <c r="L34" s="4">
        <v>-1500</v>
      </c>
      <c r="M34" s="97">
        <v>43200</v>
      </c>
      <c r="N34" s="4">
        <v>825</v>
      </c>
      <c r="O34" s="4">
        <f>N34*(1+0.1*MAX(Forschungen!$C$13-8,0)+0.1*MAX(Forschungen!$C$21-4,0)+0.05*Forschungen!$C$23)</f>
        <v>825</v>
      </c>
      <c r="P34" s="4"/>
      <c r="Q34" s="4"/>
      <c r="R34" s="4"/>
      <c r="S34" s="4"/>
      <c r="T34" s="3">
        <f t="shared" si="0"/>
        <v>20000</v>
      </c>
      <c r="U34" s="84">
        <f t="shared" si="4"/>
        <v>41.25</v>
      </c>
      <c r="V34" s="87">
        <f t="shared" si="6"/>
        <v>0</v>
      </c>
      <c r="W34" s="88">
        <f t="shared" si="7"/>
        <v>825</v>
      </c>
      <c r="X34" s="133">
        <f t="shared" si="5"/>
        <v>4125</v>
      </c>
      <c r="Y34" s="143" t="str">
        <f>_xlfn.TEXTJOIN(", ",TRUE,Forschungen!$D$13,Forschungen!$D$21,Forschungen!$D$23)</f>
        <v>IO, PF, SK</v>
      </c>
    </row>
    <row r="35" spans="1:25" ht="13.5" thickBot="1" x14ac:dyDescent="0.25">
      <c r="A35" s="203"/>
      <c r="B35" s="204" t="s">
        <v>63</v>
      </c>
      <c r="C35" s="3" t="s">
        <v>64</v>
      </c>
      <c r="D35" s="4"/>
      <c r="E35" s="4"/>
      <c r="F35" s="4"/>
      <c r="G35" s="4">
        <v>805</v>
      </c>
      <c r="H35" s="4">
        <v>518</v>
      </c>
      <c r="I35" s="4"/>
      <c r="J35" s="4"/>
      <c r="K35" s="4">
        <v>-475</v>
      </c>
      <c r="L35" s="4">
        <v>-90</v>
      </c>
      <c r="M35" s="97">
        <v>14400</v>
      </c>
      <c r="N35" s="4">
        <v>55</v>
      </c>
      <c r="O35" s="4">
        <f>N35*(1+0.1*MAX(Forschungen!$C$8-1,0)+0.1*MAX(Forschungen!$C$31-5,0)+0.1*MAX(Forschungen!$C$22,0)+0.05*Forschungen!$C$23)</f>
        <v>55</v>
      </c>
      <c r="P35" s="4"/>
      <c r="Q35" s="4"/>
      <c r="R35" s="4"/>
      <c r="S35" s="4"/>
      <c r="T35" s="3">
        <f t="shared" si="0"/>
        <v>1323</v>
      </c>
      <c r="U35" s="84">
        <f t="shared" si="4"/>
        <v>41.572184429327287</v>
      </c>
      <c r="V35" s="87">
        <f t="shared" si="6"/>
        <v>55</v>
      </c>
      <c r="W35" s="88">
        <f t="shared" si="7"/>
        <v>385</v>
      </c>
      <c r="X35" s="133">
        <f t="shared" si="5"/>
        <v>1980</v>
      </c>
      <c r="Y35" s="143" t="str">
        <f>_xlfn.TEXTJOIN(", ",TRUE,Forschungen!$D$8,Forschungen!$D$22,Forschungen!$D$31,Forschungen!$D$23)</f>
        <v>HE, RF, VB, SK</v>
      </c>
    </row>
    <row r="36" spans="1:25" ht="13.5" thickBot="1" x14ac:dyDescent="0.25">
      <c r="A36" s="203"/>
      <c r="B36" s="204"/>
      <c r="C36" s="3" t="s">
        <v>65</v>
      </c>
      <c r="D36" s="4"/>
      <c r="E36" s="4"/>
      <c r="F36" s="4"/>
      <c r="G36" s="4">
        <v>5175</v>
      </c>
      <c r="H36" s="4">
        <v>2875</v>
      </c>
      <c r="I36" s="4"/>
      <c r="J36" s="4"/>
      <c r="K36" s="4">
        <v>-2150</v>
      </c>
      <c r="L36" s="4">
        <v>-480</v>
      </c>
      <c r="M36" s="97">
        <v>18000</v>
      </c>
      <c r="N36" s="4">
        <v>425</v>
      </c>
      <c r="O36" s="4">
        <f>N36*(1+0.1*MAX(Forschungen!$C$8-5,0)+0.1*MAX(Forschungen!$C$31-7,0)+0.05*Forschungen!$C$23)</f>
        <v>425</v>
      </c>
      <c r="P36" s="4"/>
      <c r="Q36" s="4"/>
      <c r="R36" s="4"/>
      <c r="S36" s="4"/>
      <c r="T36" s="3">
        <f t="shared" si="0"/>
        <v>8050</v>
      </c>
      <c r="U36" s="84">
        <f t="shared" si="4"/>
        <v>52.795031055900623</v>
      </c>
      <c r="V36" s="87">
        <f t="shared" si="6"/>
        <v>0</v>
      </c>
      <c r="W36" s="88">
        <f t="shared" si="7"/>
        <v>425</v>
      </c>
      <c r="X36" s="133">
        <f t="shared" si="5"/>
        <v>3400</v>
      </c>
      <c r="Y36" s="143" t="str">
        <f>_xlfn.TEXTJOIN(", ",TRUE,Forschungen!$D$8,Forschungen!$D$31,Forschungen!$D$23)</f>
        <v>HE, VB, SK</v>
      </c>
    </row>
    <row r="37" spans="1:25" ht="13.5" thickBot="1" x14ac:dyDescent="0.25">
      <c r="A37" s="203"/>
      <c r="B37" s="204" t="s">
        <v>66</v>
      </c>
      <c r="C37" s="3" t="s">
        <v>67</v>
      </c>
      <c r="D37" s="4"/>
      <c r="E37" s="4"/>
      <c r="F37" s="4">
        <v>1500</v>
      </c>
      <c r="G37" s="4">
        <v>750</v>
      </c>
      <c r="H37" s="4">
        <v>2250</v>
      </c>
      <c r="I37" s="4"/>
      <c r="J37" s="4"/>
      <c r="K37" s="4">
        <v>-375</v>
      </c>
      <c r="L37" s="4">
        <v>-125</v>
      </c>
      <c r="M37" s="97">
        <v>21600</v>
      </c>
      <c r="N37" s="4">
        <v>100</v>
      </c>
      <c r="O37" s="4">
        <f>N37*(1+0.1*MAX(Forschungen!$C$3-2,0)+0.1*MAX(Forschungen!$C$22-1,0)+0.1*MAX(Forschungen!$C$31,0)+0.05*Forschungen!$C$23)</f>
        <v>100</v>
      </c>
      <c r="P37" s="4"/>
      <c r="Q37" s="4"/>
      <c r="R37" s="4"/>
      <c r="S37" s="4"/>
      <c r="T37" s="3">
        <f t="shared" si="0"/>
        <v>4500</v>
      </c>
      <c r="U37" s="84">
        <f t="shared" si="4"/>
        <v>22.222222222222221</v>
      </c>
      <c r="V37" s="87">
        <f t="shared" si="6"/>
        <v>100</v>
      </c>
      <c r="W37" s="88">
        <f t="shared" si="7"/>
        <v>900</v>
      </c>
      <c r="X37" s="133">
        <f t="shared" si="5"/>
        <v>4600</v>
      </c>
      <c r="Y37" s="143" t="str">
        <f>_xlfn.TEXTJOIN(", ",TRUE,Forschungen!$D$3,Forschungen!$D$22,Forschungen!$D$31,Forschungen!$D$23)</f>
        <v>BT, RF, VB, SK</v>
      </c>
    </row>
    <row r="38" spans="1:25" ht="13.5" thickBot="1" x14ac:dyDescent="0.25">
      <c r="A38" s="203"/>
      <c r="B38" s="204"/>
      <c r="C38" s="3" t="s">
        <v>68</v>
      </c>
      <c r="D38" s="4"/>
      <c r="E38" s="4"/>
      <c r="F38" s="4">
        <v>1438</v>
      </c>
      <c r="G38" s="4">
        <v>690</v>
      </c>
      <c r="H38" s="4">
        <v>2300</v>
      </c>
      <c r="I38" s="4"/>
      <c r="J38" s="4"/>
      <c r="K38" s="4">
        <v>-3900</v>
      </c>
      <c r="L38" s="4">
        <v>-700</v>
      </c>
      <c r="M38" s="97">
        <v>23400</v>
      </c>
      <c r="N38" s="4">
        <v>475</v>
      </c>
      <c r="O38" s="4">
        <f>N38*(1+0.1*MAX(Forschungen!$C$3-7,0)+0.1*MAX(Forschungen!$C$13-7,0)+0.1*MAX(Forschungen!$C$31-6,0)+0.05*Forschungen!$C$23)</f>
        <v>475</v>
      </c>
      <c r="P38" s="4"/>
      <c r="Q38" s="4"/>
      <c r="R38" s="4"/>
      <c r="S38" s="4"/>
      <c r="T38" s="3">
        <f t="shared" si="0"/>
        <v>4428</v>
      </c>
      <c r="U38" s="84">
        <f t="shared" si="4"/>
        <v>107.27190605239386</v>
      </c>
      <c r="V38" s="87">
        <f t="shared" si="6"/>
        <v>0</v>
      </c>
      <c r="W38" s="88">
        <f t="shared" si="7"/>
        <v>0</v>
      </c>
      <c r="X38" s="133">
        <f t="shared" si="5"/>
        <v>1900</v>
      </c>
      <c r="Y38" s="143" t="str">
        <f>_xlfn.TEXTJOIN(", ",TRUE,Forschungen!$D$3,Forschungen!$D$13,Forschungen!$D$31,Forschungen!$D$23)</f>
        <v>BT, IO, VB, SK</v>
      </c>
    </row>
    <row r="39" spans="1:25" ht="13.5" thickBot="1" x14ac:dyDescent="0.25">
      <c r="A39" s="203"/>
      <c r="B39" s="32" t="s">
        <v>69</v>
      </c>
      <c r="C39" s="5" t="s">
        <v>70</v>
      </c>
      <c r="D39" s="6">
        <v>23000</v>
      </c>
      <c r="E39" s="6">
        <v>11500</v>
      </c>
      <c r="F39" s="6">
        <v>34500</v>
      </c>
      <c r="G39" s="6"/>
      <c r="H39" s="6">
        <v>57500</v>
      </c>
      <c r="I39" s="6">
        <v>17250</v>
      </c>
      <c r="J39" s="6"/>
      <c r="K39" s="6">
        <v>-5000</v>
      </c>
      <c r="L39" s="6">
        <v>-5000</v>
      </c>
      <c r="M39" s="99">
        <v>18000</v>
      </c>
      <c r="N39" s="6">
        <v>8500</v>
      </c>
      <c r="O39" s="6">
        <f>N39*(1+0.1*MAX(Forschungen!$C$2-1,0)+0.1*MAX(Forschungen!$C$22-5,0)+0.1*MAX(Forschungen!$C$31-10,0)+0.05*Forschungen!$C$23)</f>
        <v>8500</v>
      </c>
      <c r="P39" s="6"/>
      <c r="Q39" s="6"/>
      <c r="R39" s="6"/>
      <c r="S39" s="6"/>
      <c r="T39" s="5">
        <f t="shared" si="0"/>
        <v>299000</v>
      </c>
      <c r="U39" s="85">
        <f t="shared" si="4"/>
        <v>28.42809364548495</v>
      </c>
      <c r="V39" s="90">
        <f t="shared" si="6"/>
        <v>0</v>
      </c>
      <c r="W39" s="93">
        <f t="shared" si="7"/>
        <v>0</v>
      </c>
      <c r="X39" s="135">
        <f t="shared" si="5"/>
        <v>8500</v>
      </c>
      <c r="Y39" s="145" t="str">
        <f>_xlfn.TEXTJOIN(", ",TRUE,Forschungen!$D$2,Forschungen!$D$22,Forschungen!$D$31,Forschungen!$D$23)</f>
        <v>AT, RF, VB, SK</v>
      </c>
    </row>
    <row r="40" spans="1:25" ht="12.75" customHeight="1" thickBot="1" x14ac:dyDescent="0.25">
      <c r="A40" s="203" t="s">
        <v>71</v>
      </c>
      <c r="B40" s="209"/>
      <c r="C40" s="1" t="s">
        <v>72</v>
      </c>
      <c r="D40" s="2">
        <v>115</v>
      </c>
      <c r="E40" s="2"/>
      <c r="F40" s="2">
        <v>35</v>
      </c>
      <c r="G40" s="2"/>
      <c r="H40" s="2"/>
      <c r="I40" s="2"/>
      <c r="J40" s="2"/>
      <c r="K40" s="2">
        <v>-50</v>
      </c>
      <c r="L40" s="2">
        <v>-10</v>
      </c>
      <c r="M40" s="98">
        <v>5400</v>
      </c>
      <c r="N40" s="2"/>
      <c r="O40" s="2"/>
      <c r="P40" s="2"/>
      <c r="Q40" s="2"/>
      <c r="R40" s="2">
        <v>50</v>
      </c>
      <c r="S40" s="2">
        <f>R40*(1+0.05*MAX(Forschungen!$C$15-1,0))</f>
        <v>50</v>
      </c>
      <c r="T40" s="1"/>
      <c r="U40" s="1"/>
      <c r="V40" s="77"/>
      <c r="W40" s="81"/>
      <c r="X40" s="130"/>
      <c r="Y40" s="140" t="str">
        <f>Forschungen!$D$15</f>
        <v>LD</v>
      </c>
    </row>
    <row r="41" spans="1:25" ht="13.5" thickBot="1" x14ac:dyDescent="0.25">
      <c r="A41" s="203"/>
      <c r="B41" s="209"/>
      <c r="C41" s="3" t="s">
        <v>73</v>
      </c>
      <c r="D41" s="4">
        <v>2300</v>
      </c>
      <c r="E41" s="4"/>
      <c r="F41" s="4">
        <v>690</v>
      </c>
      <c r="G41" s="4"/>
      <c r="H41" s="4"/>
      <c r="I41" s="4"/>
      <c r="J41" s="4"/>
      <c r="K41" s="4">
        <v>-500</v>
      </c>
      <c r="L41" s="4">
        <v>-100</v>
      </c>
      <c r="M41" s="97">
        <v>5400</v>
      </c>
      <c r="N41" s="4"/>
      <c r="O41" s="4"/>
      <c r="P41" s="4"/>
      <c r="Q41" s="4"/>
      <c r="R41" s="4">
        <v>1000</v>
      </c>
      <c r="S41" s="4">
        <f>R41*(1+0.05*MAX(Forschungen!$C$15-4,0))</f>
        <v>1000</v>
      </c>
      <c r="T41" s="3"/>
      <c r="U41" s="3"/>
      <c r="V41" s="76"/>
      <c r="W41" s="80"/>
      <c r="X41" s="129"/>
      <c r="Y41" s="139" t="str">
        <f>Forschungen!$D$15</f>
        <v>LD</v>
      </c>
    </row>
    <row r="42" spans="1:25" ht="13.5" thickBot="1" x14ac:dyDescent="0.25">
      <c r="A42" s="203"/>
      <c r="B42" s="209"/>
      <c r="C42" s="3" t="s">
        <v>74</v>
      </c>
      <c r="D42" s="4">
        <v>3500</v>
      </c>
      <c r="E42" s="4"/>
      <c r="F42" s="4">
        <v>1200</v>
      </c>
      <c r="G42" s="4"/>
      <c r="H42" s="4"/>
      <c r="I42" s="4"/>
      <c r="J42" s="4"/>
      <c r="K42" s="4">
        <v>-1250</v>
      </c>
      <c r="L42" s="4">
        <v>-400</v>
      </c>
      <c r="M42" s="97">
        <v>10800</v>
      </c>
      <c r="N42" s="4"/>
      <c r="O42" s="4"/>
      <c r="P42" s="4"/>
      <c r="Q42" s="4"/>
      <c r="R42" s="4">
        <v>6000</v>
      </c>
      <c r="S42" s="4">
        <f>R42*(1+0.05*MAX(Forschungen!$C$15-6,0))</f>
        <v>6000</v>
      </c>
      <c r="T42" s="3"/>
      <c r="U42" s="3"/>
      <c r="V42" s="76"/>
      <c r="W42" s="80"/>
      <c r="X42" s="129"/>
      <c r="Y42" s="139" t="str">
        <f>Forschungen!$D$15</f>
        <v>LD</v>
      </c>
    </row>
    <row r="43" spans="1:25" ht="13.5" thickBot="1" x14ac:dyDescent="0.25">
      <c r="A43" s="203"/>
      <c r="B43" s="209"/>
      <c r="C43" s="3" t="s">
        <v>75</v>
      </c>
      <c r="D43" s="4">
        <v>50000</v>
      </c>
      <c r="E43" s="4">
        <v>15000</v>
      </c>
      <c r="F43" s="4"/>
      <c r="G43" s="4"/>
      <c r="H43" s="4"/>
      <c r="I43" s="4"/>
      <c r="J43" s="4"/>
      <c r="K43" s="4">
        <v>-7500</v>
      </c>
      <c r="L43" s="4">
        <v>-2500</v>
      </c>
      <c r="M43" s="97">
        <v>25200</v>
      </c>
      <c r="N43" s="4"/>
      <c r="O43" s="4"/>
      <c r="P43" s="4"/>
      <c r="Q43" s="4"/>
      <c r="R43" s="4">
        <v>50000</v>
      </c>
      <c r="S43" s="4">
        <f>R43*(1+0.05*MAX(Forschungen!$C$15-8,0))</f>
        <v>50000</v>
      </c>
      <c r="T43" s="3"/>
      <c r="U43" s="3"/>
      <c r="V43" s="76"/>
      <c r="W43" s="80"/>
      <c r="X43" s="129"/>
      <c r="Y43" s="139" t="str">
        <f>Forschungen!$D$15</f>
        <v>LD</v>
      </c>
    </row>
    <row r="44" spans="1:25" ht="13.5" thickBot="1" x14ac:dyDescent="0.25">
      <c r="A44" s="203"/>
      <c r="B44" s="209"/>
      <c r="C44" s="5" t="s">
        <v>76</v>
      </c>
      <c r="D44" s="6">
        <v>60000</v>
      </c>
      <c r="E44" s="6">
        <v>25000</v>
      </c>
      <c r="F44" s="6">
        <v>35000</v>
      </c>
      <c r="G44" s="6"/>
      <c r="H44" s="6"/>
      <c r="I44" s="6">
        <v>8000</v>
      </c>
      <c r="J44" s="6"/>
      <c r="K44" s="6">
        <v>-5800</v>
      </c>
      <c r="L44" s="6">
        <v>-2000</v>
      </c>
      <c r="M44" s="99">
        <v>360000</v>
      </c>
      <c r="N44" s="6"/>
      <c r="O44" s="6"/>
      <c r="P44" s="6"/>
      <c r="Q44" s="6"/>
      <c r="R44" s="6">
        <v>2500</v>
      </c>
      <c r="S44" s="6">
        <f>R44</f>
        <v>2500</v>
      </c>
      <c r="T44" s="5"/>
      <c r="U44" s="5"/>
      <c r="V44" s="78"/>
      <c r="W44" s="82"/>
      <c r="X44" s="131"/>
      <c r="Y44" s="141" t="str">
        <f>Forschungen!$D$15</f>
        <v>LD</v>
      </c>
    </row>
    <row r="45" spans="1:25" ht="12.75" customHeight="1" thickBot="1" x14ac:dyDescent="0.25">
      <c r="A45" s="203" t="s">
        <v>77</v>
      </c>
      <c r="B45" s="209"/>
      <c r="C45" s="1" t="s">
        <v>78</v>
      </c>
      <c r="D45" s="2">
        <v>1200</v>
      </c>
      <c r="E45" s="2"/>
      <c r="F45" s="2">
        <v>2500</v>
      </c>
      <c r="G45" s="2"/>
      <c r="H45" s="2"/>
      <c r="I45" s="2">
        <v>700</v>
      </c>
      <c r="J45" s="2"/>
      <c r="K45" s="189">
        <v>-0.2</v>
      </c>
      <c r="L45" s="189">
        <v>-0.2</v>
      </c>
      <c r="M45" s="98">
        <v>18000</v>
      </c>
      <c r="N45" s="2"/>
      <c r="O45" s="2"/>
      <c r="P45" s="2"/>
      <c r="Q45" s="2"/>
      <c r="R45" s="2"/>
      <c r="S45" s="2"/>
      <c r="T45" s="1"/>
      <c r="U45" s="1"/>
      <c r="V45" s="77"/>
      <c r="W45" s="81"/>
      <c r="X45" s="130"/>
      <c r="Y45" s="140"/>
    </row>
    <row r="46" spans="1:25" ht="13.5" thickBot="1" x14ac:dyDescent="0.25">
      <c r="A46" s="203"/>
      <c r="B46" s="209"/>
      <c r="C46" s="3" t="s">
        <v>79</v>
      </c>
      <c r="D46" s="4">
        <v>14000</v>
      </c>
      <c r="E46" s="4">
        <v>11000</v>
      </c>
      <c r="F46" s="4">
        <v>9000</v>
      </c>
      <c r="G46" s="4">
        <v>7000</v>
      </c>
      <c r="H46" s="4">
        <v>7000</v>
      </c>
      <c r="I46" s="4"/>
      <c r="J46" s="4"/>
      <c r="K46" s="4">
        <v>-3000</v>
      </c>
      <c r="L46" s="4">
        <v>-1000</v>
      </c>
      <c r="M46" s="97">
        <v>28800</v>
      </c>
      <c r="N46" s="4"/>
      <c r="O46" s="4"/>
      <c r="P46" s="4"/>
      <c r="Q46" s="4"/>
      <c r="R46" s="4">
        <v>7000</v>
      </c>
      <c r="S46" s="4"/>
      <c r="T46" s="3"/>
      <c r="U46" s="3"/>
      <c r="V46" s="76"/>
      <c r="W46" s="80"/>
      <c r="X46" s="129"/>
      <c r="Y46" s="139"/>
    </row>
    <row r="47" spans="1:25" ht="13.5" thickBot="1" x14ac:dyDescent="0.25">
      <c r="A47" s="203"/>
      <c r="B47" s="209"/>
      <c r="C47" s="5" t="s">
        <v>80</v>
      </c>
      <c r="D47" s="6"/>
      <c r="E47" s="6">
        <v>650</v>
      </c>
      <c r="F47" s="6">
        <v>650</v>
      </c>
      <c r="G47" s="6"/>
      <c r="H47" s="6"/>
      <c r="I47" s="6">
        <v>150</v>
      </c>
      <c r="J47" s="6"/>
      <c r="K47" s="6">
        <v>-25</v>
      </c>
      <c r="L47" s="6">
        <v>-100</v>
      </c>
      <c r="M47" s="99">
        <v>14400</v>
      </c>
      <c r="N47" s="6"/>
      <c r="O47" s="6"/>
      <c r="P47" s="6"/>
      <c r="Q47" s="6"/>
      <c r="R47" s="6"/>
      <c r="S47" s="6"/>
      <c r="T47" s="5"/>
      <c r="U47" s="5"/>
      <c r="V47" s="78"/>
      <c r="W47" s="82"/>
      <c r="X47" s="131"/>
      <c r="Y47" s="141"/>
    </row>
  </sheetData>
  <sheetProtection selectLockedCells="1" selectUnlockedCells="1"/>
  <mergeCells count="20">
    <mergeCell ref="A45:A47"/>
    <mergeCell ref="B45:B47"/>
    <mergeCell ref="A27:A39"/>
    <mergeCell ref="B28:B30"/>
    <mergeCell ref="B32:B34"/>
    <mergeCell ref="B35:B36"/>
    <mergeCell ref="B37:B38"/>
    <mergeCell ref="A40:A44"/>
    <mergeCell ref="B40:B44"/>
    <mergeCell ref="A2:A4"/>
    <mergeCell ref="B2:B4"/>
    <mergeCell ref="A5:A14"/>
    <mergeCell ref="A15:A26"/>
    <mergeCell ref="B15:B17"/>
    <mergeCell ref="B18:B20"/>
    <mergeCell ref="B21:B23"/>
    <mergeCell ref="B24:B26"/>
    <mergeCell ref="B5:B7"/>
    <mergeCell ref="B8:B10"/>
    <mergeCell ref="B11:B13"/>
  </mergeCells>
  <conditionalFormatting sqref="U15:U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7:U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14"/>
  <sheetViews>
    <sheetView zoomScaleNormal="100" workbookViewId="0">
      <selection activeCell="C21" sqref="C21"/>
    </sheetView>
  </sheetViews>
  <sheetFormatPr baseColWidth="10" defaultRowHeight="12.75" x14ac:dyDescent="0.2"/>
  <cols>
    <col min="1" max="1" width="17.7109375" bestFit="1" customWidth="1"/>
    <col min="2" max="13" width="10" customWidth="1"/>
  </cols>
  <sheetData>
    <row r="1" spans="1:13" ht="25.5" x14ac:dyDescent="0.2">
      <c r="A1" s="25" t="s">
        <v>82</v>
      </c>
      <c r="B1" s="25" t="s">
        <v>83</v>
      </c>
      <c r="C1" s="25" t="s">
        <v>84</v>
      </c>
      <c r="D1" s="25" t="s">
        <v>58</v>
      </c>
      <c r="E1" s="25" t="s">
        <v>85</v>
      </c>
      <c r="F1" s="102" t="s">
        <v>156</v>
      </c>
      <c r="G1" s="25" t="s">
        <v>35</v>
      </c>
      <c r="H1" s="25" t="s">
        <v>86</v>
      </c>
      <c r="I1" s="25" t="s">
        <v>87</v>
      </c>
      <c r="J1" s="25" t="s">
        <v>88</v>
      </c>
      <c r="K1" s="25" t="s">
        <v>43</v>
      </c>
      <c r="L1" s="102" t="s">
        <v>157</v>
      </c>
      <c r="M1" s="102" t="s">
        <v>158</v>
      </c>
    </row>
    <row r="2" spans="1:13" x14ac:dyDescent="0.2">
      <c r="A2" s="33" t="s">
        <v>89</v>
      </c>
      <c r="B2" s="21">
        <v>0.15</v>
      </c>
      <c r="C2" s="7">
        <v>-0.35</v>
      </c>
      <c r="D2" s="21">
        <v>0.1</v>
      </c>
      <c r="E2" s="7">
        <v>0.1</v>
      </c>
      <c r="F2" s="21">
        <v>0.1</v>
      </c>
      <c r="G2" s="21">
        <v>0.1</v>
      </c>
      <c r="H2" s="7">
        <v>0.1</v>
      </c>
      <c r="I2" s="7">
        <v>0.1</v>
      </c>
      <c r="J2" s="7">
        <v>0</v>
      </c>
      <c r="K2" s="7">
        <v>0</v>
      </c>
      <c r="L2" s="7">
        <v>0</v>
      </c>
      <c r="M2" s="103">
        <v>0</v>
      </c>
    </row>
    <row r="3" spans="1:13" x14ac:dyDescent="0.2">
      <c r="A3" s="33" t="s">
        <v>90</v>
      </c>
      <c r="B3" s="7">
        <v>0</v>
      </c>
      <c r="C3" s="7">
        <v>0</v>
      </c>
      <c r="D3" s="7">
        <v>-0.1</v>
      </c>
      <c r="E3" s="21">
        <v>0.1</v>
      </c>
      <c r="F3" s="7">
        <v>-0.15</v>
      </c>
      <c r="G3" s="7">
        <v>0</v>
      </c>
      <c r="H3" s="21">
        <v>0.1</v>
      </c>
      <c r="I3" s="21">
        <v>0.2</v>
      </c>
      <c r="J3" s="7">
        <v>-0.2</v>
      </c>
      <c r="K3" s="21">
        <v>0.15</v>
      </c>
      <c r="L3" s="7">
        <v>0</v>
      </c>
      <c r="M3" s="103">
        <v>0</v>
      </c>
    </row>
    <row r="4" spans="1:13" x14ac:dyDescent="0.2">
      <c r="A4" s="33" t="s">
        <v>91</v>
      </c>
      <c r="B4" s="7">
        <f>-1/3</f>
        <v>-0.33333333333333331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-0.2</v>
      </c>
      <c r="M4" s="103">
        <v>-40</v>
      </c>
    </row>
    <row r="5" spans="1:13" x14ac:dyDescent="0.2">
      <c r="A5" s="33" t="s">
        <v>92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103">
        <v>0</v>
      </c>
    </row>
    <row r="8" spans="1:13" x14ac:dyDescent="0.2">
      <c r="A8" s="210" t="s">
        <v>159</v>
      </c>
      <c r="B8" s="210"/>
    </row>
    <row r="9" spans="1:13" x14ac:dyDescent="0.2">
      <c r="A9" s="33" t="s">
        <v>160</v>
      </c>
      <c r="B9" s="103">
        <v>100</v>
      </c>
    </row>
    <row r="10" spans="1:13" x14ac:dyDescent="0.2">
      <c r="A10" s="33" t="s">
        <v>161</v>
      </c>
      <c r="B10" s="103">
        <v>200</v>
      </c>
    </row>
    <row r="11" spans="1:13" x14ac:dyDescent="0.2">
      <c r="A11" s="33" t="s">
        <v>162</v>
      </c>
      <c r="B11" s="103">
        <v>200</v>
      </c>
    </row>
    <row r="12" spans="1:13" x14ac:dyDescent="0.2">
      <c r="A12" s="105"/>
      <c r="B12" s="103"/>
    </row>
    <row r="14" spans="1:13" x14ac:dyDescent="0.2">
      <c r="H14" s="7"/>
    </row>
  </sheetData>
  <sheetProtection selectLockedCells="1" selectUnlockedCells="1"/>
  <mergeCells count="1">
    <mergeCell ref="A8:B8"/>
  </mergeCell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32"/>
  <sheetViews>
    <sheetView zoomScaleNormal="100" workbookViewId="0">
      <pane ySplit="1" topLeftCell="A2" activePane="bottomLeft" state="frozenSplit"/>
      <selection pane="bottomLeft" activeCell="G14" sqref="G14"/>
    </sheetView>
  </sheetViews>
  <sheetFormatPr baseColWidth="10" defaultRowHeight="12.75" x14ac:dyDescent="0.2"/>
  <cols>
    <col min="1" max="1" width="23.5703125" customWidth="1"/>
    <col min="2" max="2" width="23.5703125" hidden="1" customWidth="1"/>
    <col min="4" max="4" width="11.5703125" style="137"/>
  </cols>
  <sheetData>
    <row r="1" spans="1:4" x14ac:dyDescent="0.2">
      <c r="A1" s="25" t="s">
        <v>93</v>
      </c>
      <c r="B1" s="25"/>
      <c r="C1" s="25" t="s">
        <v>94</v>
      </c>
      <c r="D1" s="127" t="s">
        <v>177</v>
      </c>
    </row>
    <row r="2" spans="1:4" x14ac:dyDescent="0.2">
      <c r="A2" t="s">
        <v>95</v>
      </c>
      <c r="C2">
        <v>0</v>
      </c>
      <c r="D2" s="137" t="s">
        <v>196</v>
      </c>
    </row>
    <row r="3" spans="1:4" x14ac:dyDescent="0.2">
      <c r="A3" t="s">
        <v>96</v>
      </c>
      <c r="C3">
        <v>0</v>
      </c>
      <c r="D3" s="137" t="s">
        <v>194</v>
      </c>
    </row>
    <row r="4" spans="1:4" x14ac:dyDescent="0.2">
      <c r="A4" t="s">
        <v>97</v>
      </c>
      <c r="C4">
        <v>0</v>
      </c>
      <c r="D4" s="137" t="s">
        <v>192</v>
      </c>
    </row>
    <row r="5" spans="1:4" x14ac:dyDescent="0.2">
      <c r="A5" t="s">
        <v>98</v>
      </c>
      <c r="C5">
        <v>0</v>
      </c>
      <c r="D5" s="137" t="s">
        <v>191</v>
      </c>
    </row>
    <row r="6" spans="1:4" x14ac:dyDescent="0.2">
      <c r="A6" t="s">
        <v>99</v>
      </c>
      <c r="C6">
        <v>0</v>
      </c>
      <c r="D6" s="137" t="s">
        <v>187</v>
      </c>
    </row>
    <row r="7" spans="1:4" x14ac:dyDescent="0.2">
      <c r="A7" t="s">
        <v>100</v>
      </c>
      <c r="B7" t="s">
        <v>136</v>
      </c>
      <c r="C7">
        <v>0</v>
      </c>
      <c r="D7" s="137" t="s">
        <v>185</v>
      </c>
    </row>
    <row r="8" spans="1:4" x14ac:dyDescent="0.2">
      <c r="A8" t="s">
        <v>101</v>
      </c>
      <c r="C8">
        <v>0</v>
      </c>
      <c r="D8" s="137" t="s">
        <v>183</v>
      </c>
    </row>
    <row r="9" spans="1:4" x14ac:dyDescent="0.2">
      <c r="A9" t="s">
        <v>102</v>
      </c>
      <c r="C9">
        <v>0</v>
      </c>
      <c r="D9" s="137" t="s">
        <v>198</v>
      </c>
    </row>
    <row r="10" spans="1:4" x14ac:dyDescent="0.2">
      <c r="A10" t="s">
        <v>103</v>
      </c>
      <c r="B10" t="s">
        <v>135</v>
      </c>
      <c r="C10">
        <v>0</v>
      </c>
      <c r="D10" s="137" t="s">
        <v>181</v>
      </c>
    </row>
    <row r="11" spans="1:4" x14ac:dyDescent="0.2">
      <c r="A11" t="s">
        <v>104</v>
      </c>
      <c r="C11">
        <v>0</v>
      </c>
      <c r="D11" s="137" t="s">
        <v>197</v>
      </c>
    </row>
    <row r="12" spans="1:4" x14ac:dyDescent="0.2">
      <c r="A12" t="s">
        <v>105</v>
      </c>
      <c r="B12" t="s">
        <v>133</v>
      </c>
      <c r="C12">
        <v>0</v>
      </c>
      <c r="D12" s="137" t="s">
        <v>178</v>
      </c>
    </row>
    <row r="13" spans="1:4" x14ac:dyDescent="0.2">
      <c r="A13" t="s">
        <v>106</v>
      </c>
      <c r="C13">
        <v>0</v>
      </c>
      <c r="D13" s="137" t="s">
        <v>204</v>
      </c>
    </row>
    <row r="14" spans="1:4" x14ac:dyDescent="0.2">
      <c r="A14" t="s">
        <v>107</v>
      </c>
      <c r="C14">
        <v>0</v>
      </c>
      <c r="D14" s="137" t="s">
        <v>199</v>
      </c>
    </row>
    <row r="15" spans="1:4" x14ac:dyDescent="0.2">
      <c r="A15" t="s">
        <v>108</v>
      </c>
      <c r="C15">
        <v>0</v>
      </c>
      <c r="D15" s="137" t="s">
        <v>186</v>
      </c>
    </row>
    <row r="16" spans="1:4" x14ac:dyDescent="0.2">
      <c r="A16" t="s">
        <v>109</v>
      </c>
      <c r="C16">
        <v>0</v>
      </c>
      <c r="D16" s="137" t="s">
        <v>205</v>
      </c>
    </row>
    <row r="17" spans="1:4" x14ac:dyDescent="0.2">
      <c r="A17" t="s">
        <v>110</v>
      </c>
      <c r="C17">
        <v>0</v>
      </c>
      <c r="D17" s="137" t="s">
        <v>188</v>
      </c>
    </row>
    <row r="18" spans="1:4" x14ac:dyDescent="0.2">
      <c r="A18" t="s">
        <v>111</v>
      </c>
      <c r="C18">
        <v>0</v>
      </c>
      <c r="D18" s="137" t="s">
        <v>189</v>
      </c>
    </row>
    <row r="19" spans="1:4" x14ac:dyDescent="0.2">
      <c r="A19" t="s">
        <v>112</v>
      </c>
      <c r="C19">
        <v>0</v>
      </c>
      <c r="D19" s="137" t="s">
        <v>184</v>
      </c>
    </row>
    <row r="20" spans="1:4" x14ac:dyDescent="0.2">
      <c r="A20" t="s">
        <v>113</v>
      </c>
      <c r="B20" t="s">
        <v>134</v>
      </c>
      <c r="C20">
        <v>0</v>
      </c>
      <c r="D20" s="137" t="s">
        <v>209</v>
      </c>
    </row>
    <row r="21" spans="1:4" x14ac:dyDescent="0.2">
      <c r="A21" t="s">
        <v>114</v>
      </c>
      <c r="C21">
        <v>0</v>
      </c>
      <c r="D21" s="137" t="s">
        <v>182</v>
      </c>
    </row>
    <row r="22" spans="1:4" x14ac:dyDescent="0.2">
      <c r="A22" t="s">
        <v>115</v>
      </c>
      <c r="C22">
        <v>0</v>
      </c>
      <c r="D22" s="137" t="s">
        <v>200</v>
      </c>
    </row>
    <row r="23" spans="1:4" x14ac:dyDescent="0.2">
      <c r="A23" t="s">
        <v>116</v>
      </c>
      <c r="C23">
        <v>0</v>
      </c>
      <c r="D23" s="137" t="s">
        <v>193</v>
      </c>
    </row>
    <row r="24" spans="1:4" x14ac:dyDescent="0.2">
      <c r="A24" t="s">
        <v>117</v>
      </c>
      <c r="C24">
        <v>0</v>
      </c>
      <c r="D24" s="137" t="s">
        <v>179</v>
      </c>
    </row>
    <row r="25" spans="1:4" x14ac:dyDescent="0.2">
      <c r="A25" t="s">
        <v>118</v>
      </c>
      <c r="C25">
        <v>0</v>
      </c>
      <c r="D25" s="137" t="s">
        <v>202</v>
      </c>
    </row>
    <row r="26" spans="1:4" x14ac:dyDescent="0.2">
      <c r="A26" t="s">
        <v>119</v>
      </c>
      <c r="C26">
        <v>0</v>
      </c>
      <c r="D26" s="137" t="s">
        <v>203</v>
      </c>
    </row>
    <row r="27" spans="1:4" x14ac:dyDescent="0.2">
      <c r="A27" t="s">
        <v>120</v>
      </c>
      <c r="C27">
        <v>0</v>
      </c>
      <c r="D27" s="137" t="s">
        <v>206</v>
      </c>
    </row>
    <row r="28" spans="1:4" x14ac:dyDescent="0.2">
      <c r="A28" t="s">
        <v>121</v>
      </c>
      <c r="C28">
        <v>0</v>
      </c>
      <c r="D28" s="137" t="s">
        <v>190</v>
      </c>
    </row>
    <row r="29" spans="1:4" x14ac:dyDescent="0.2">
      <c r="A29" t="s">
        <v>122</v>
      </c>
      <c r="C29">
        <v>0</v>
      </c>
      <c r="D29" s="137" t="s">
        <v>201</v>
      </c>
    </row>
    <row r="30" spans="1:4" x14ac:dyDescent="0.2">
      <c r="A30" t="s">
        <v>123</v>
      </c>
      <c r="C30">
        <v>0</v>
      </c>
      <c r="D30" s="137" t="s">
        <v>180</v>
      </c>
    </row>
    <row r="31" spans="1:4" x14ac:dyDescent="0.2">
      <c r="A31" t="s">
        <v>124</v>
      </c>
      <c r="C31">
        <v>0</v>
      </c>
      <c r="D31" s="137" t="s">
        <v>195</v>
      </c>
    </row>
    <row r="32" spans="1:4" x14ac:dyDescent="0.2">
      <c r="A32" s="101" t="s">
        <v>154</v>
      </c>
      <c r="B32" s="101"/>
      <c r="C32" s="101">
        <v>16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J24" sqref="J24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11.5703125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Schwer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77"/>
      <c r="S3" s="160"/>
    </row>
    <row r="4" spans="1:20" ht="15" customHeight="1" thickBot="1" x14ac:dyDescent="0.25">
      <c r="A4" s="70" t="s">
        <v>132</v>
      </c>
      <c r="B4" s="71" t="s">
        <v>22</v>
      </c>
      <c r="C4" s="74" t="str">
        <f>B4</f>
        <v>Schwer</v>
      </c>
      <c r="D4" s="46">
        <v>1</v>
      </c>
      <c r="E4" s="47">
        <f>$D$4*VLOOKUP($B$4,Rumpf,2,FALSE)*(1+VLOOKUP($B$2,Rassen!$A$2:$L$5,2,FALSE))</f>
        <v>8333.3333333333339</v>
      </c>
      <c r="F4" s="47">
        <f>$D$4*VLOOKUP($B$4,Rumpf,3,FALSE)*(1+VLOOKUP($B$2,Rassen!$A$2:$L$5,2,FALSE))</f>
        <v>1666.6666666666667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35000</v>
      </c>
      <c r="L4" s="47">
        <f>$D$4*VLOOKUP($B$4,Rumpf,9,FALSE)+IF(ISERROR(VLOOKUP($C$2,Rassen!$A$9:$B$11,2,FALSE)),0,VLOOKUP($C$2,Rassen!$A$9:$B$11,2,FALSE))</f>
        <v>25200</v>
      </c>
      <c r="M4" s="47"/>
      <c r="N4" s="47">
        <f>$D$4*VLOOKUP($B$4,Rumpf,11,FALSE)/60</f>
        <v>1344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135</v>
      </c>
      <c r="C5" s="49" t="str">
        <f>B5&amp;" "&amp;B4</f>
        <v>Hyp Schwer</v>
      </c>
      <c r="D5" s="1">
        <v>1</v>
      </c>
      <c r="E5" s="8">
        <f>$D$5*VLOOKUP($C$5,Antrieb,2,FALSE)*(1+VLOOKUP($B$2,Rassen!$A$2:$L$5,2,FALSE))</f>
        <v>48466.666666666672</v>
      </c>
      <c r="F5" s="8">
        <f>$D$5*VLOOKUP($C$5,Antrieb,3,FALSE)*(1+VLOOKUP($B$2,Rassen!$A$2:$L$5,2,FALSE))</f>
        <v>35666.666666666672</v>
      </c>
      <c r="G5" s="8">
        <f>$D$5*VLOOKUP($C$5,Antrieb,4,FALSE)*(1+VLOOKUP($B$2,Rassen!$A$2:$L$5,2,FALSE))</f>
        <v>59006.666666666672</v>
      </c>
      <c r="H5" s="8">
        <f>$D$5*VLOOKUP($C$5,Antrieb,5,FALSE)*(1+VLOOKUP($B$2,Rassen!$A$2:$L$5,2,FALSE))</f>
        <v>55333.333333333343</v>
      </c>
      <c r="I5" s="8">
        <f>$D$5*VLOOKUP($C$5,Antrieb,6,FALSE)*(1+VLOOKUP($B$2,Rassen!$A$2:$L$5,2,FALSE))</f>
        <v>24566.666666666668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-7460</v>
      </c>
      <c r="M5" s="8">
        <f>$D$5*VLOOKUP($C$5,Antrieb,10,FALSE)</f>
        <v>7500</v>
      </c>
      <c r="N5" s="8">
        <f>$D$5*VLOOKUP($C$5,Antrieb,11,FALSE)/60</f>
        <v>1440</v>
      </c>
      <c r="O5" s="8"/>
      <c r="P5" s="8"/>
      <c r="Q5" s="42"/>
      <c r="R5" s="42"/>
      <c r="S5" s="164" t="str">
        <f>IF(D5&lt;&gt;0,VLOOKUP($C$5,Antrieb,23,FALSE),"")</f>
        <v>HA</v>
      </c>
      <c r="T5" t="str">
        <f>_xlfn.TEXTJOIN(", ",TRUE,S5:S35)</f>
        <v>HA</v>
      </c>
    </row>
    <row r="6" spans="1:20" ht="12.75" customHeight="1" thickBot="1" x14ac:dyDescent="0.25">
      <c r="A6" s="203" t="s">
        <v>34</v>
      </c>
      <c r="B6" s="211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42"/>
      <c r="S6" s="165" t="str">
        <f>IF(D6&lt;&gt;0,Komponenten!Y15,"")</f>
        <v/>
      </c>
    </row>
    <row r="7" spans="1:20" ht="13.5" thickBot="1" x14ac:dyDescent="0.25">
      <c r="A7" s="203"/>
      <c r="B7" s="211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203"/>
      <c r="B8" s="211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203"/>
      <c r="B9" s="212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203"/>
      <c r="B10" s="212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203"/>
      <c r="B11" s="212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203"/>
      <c r="B12" s="212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203"/>
      <c r="B13" s="212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203"/>
      <c r="B14" s="212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203"/>
      <c r="B15" s="213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203"/>
      <c r="B16" s="213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203"/>
      <c r="B17" s="213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203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42"/>
      <c r="S18" s="168" t="str">
        <f>IF(D18&lt;&gt;0,Komponenten!Y27,"")</f>
        <v/>
      </c>
    </row>
    <row r="19" spans="1:19" ht="13.5" thickBot="1" x14ac:dyDescent="0.25">
      <c r="A19" s="203"/>
      <c r="B19" s="212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203"/>
      <c r="B20" s="212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203"/>
      <c r="B21" s="212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203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203"/>
      <c r="B23" s="212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203"/>
      <c r="B24" s="212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203"/>
      <c r="B25" s="212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203"/>
      <c r="B26" s="212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203"/>
      <c r="B27" s="212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203"/>
      <c r="B28" s="212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203"/>
      <c r="B29" s="212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203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203" t="s">
        <v>71</v>
      </c>
      <c r="B31" s="218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77"/>
      <c r="S31" s="170" t="str">
        <f>IF(D31&lt;&gt;0,Komponenten!Y40,"")</f>
        <v/>
      </c>
    </row>
    <row r="32" spans="1:19" ht="13.5" thickBot="1" x14ac:dyDescent="0.25">
      <c r="A32" s="203"/>
      <c r="B32" s="218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203"/>
      <c r="B33" s="218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203"/>
      <c r="B34" s="218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203"/>
      <c r="B35" s="218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203" t="s">
        <v>77</v>
      </c>
      <c r="B36" s="218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42">
        <f>D36*Komponenten!R45</f>
        <v>0</v>
      </c>
      <c r="S36" s="161"/>
    </row>
    <row r="37" spans="1:19" ht="13.5" thickBot="1" x14ac:dyDescent="0.25">
      <c r="A37" s="203"/>
      <c r="B37" s="218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203"/>
      <c r="B38" s="218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14" t="s">
        <v>83</v>
      </c>
      <c r="B39" s="215"/>
      <c r="C39" s="22"/>
      <c r="D39" s="11" t="s">
        <v>81</v>
      </c>
      <c r="E39" s="58">
        <f t="shared" ref="E39:Q39" si="0">SUM(E4:E38)</f>
        <v>56800.000000000007</v>
      </c>
      <c r="F39" s="58">
        <f t="shared" si="0"/>
        <v>37333.333333333336</v>
      </c>
      <c r="G39" s="58">
        <f t="shared" si="0"/>
        <v>59006.666666666672</v>
      </c>
      <c r="H39" s="58">
        <f t="shared" si="0"/>
        <v>55333.333333333343</v>
      </c>
      <c r="I39" s="58">
        <f t="shared" si="0"/>
        <v>24566.666666666668</v>
      </c>
      <c r="J39" s="58">
        <f t="shared" si="0"/>
        <v>0</v>
      </c>
      <c r="K39" s="58">
        <f>K4-L39</f>
        <v>17260</v>
      </c>
      <c r="L39" s="58">
        <f t="shared" si="0"/>
        <v>17740</v>
      </c>
      <c r="M39" s="58">
        <f t="shared" si="0"/>
        <v>7500</v>
      </c>
      <c r="N39" s="58">
        <f>SUM(N4:N38)/(Forschungen!C32*1.03^Forschungen!C32)*(1+VLOOKUP($B$2,Rassen!$A$2:$L$5,3,FALSE))</f>
        <v>108.4310474242999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56">
        <f xml:space="preserve"> IF(1+(1- K39/K4)+(MAX((VLOOKUP($B$5,Forschung,2,FALSE)),0)*0.02) &gt;1.6,1.6,1+(1- K39/K4)+(MAX((VLOOKUP($B$5,Forschung,2,FALSE)),0)*0.02))</f>
        <v>1.5068571428571429</v>
      </c>
      <c r="S39" s="160" t="s">
        <v>232</v>
      </c>
    </row>
    <row r="40" spans="1:19" ht="26.25" thickBot="1" x14ac:dyDescent="0.25">
      <c r="A40" s="216"/>
      <c r="B40" s="217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39:B40"/>
    <mergeCell ref="A36:A38"/>
    <mergeCell ref="B36:B38"/>
    <mergeCell ref="A18:A30"/>
    <mergeCell ref="B19:B21"/>
    <mergeCell ref="B23:B25"/>
    <mergeCell ref="B26:B27"/>
    <mergeCell ref="B28:B29"/>
    <mergeCell ref="A31:A35"/>
    <mergeCell ref="B31:B35"/>
    <mergeCell ref="A6:A17"/>
    <mergeCell ref="B6:B8"/>
    <mergeCell ref="B9:B11"/>
    <mergeCell ref="B12:B14"/>
    <mergeCell ref="B15:B17"/>
  </mergeCells>
  <conditionalFormatting sqref="L39:N40">
    <cfRule type="cellIs" dxfId="56" priority="10" stopIfTrue="1" operator="lessThan">
      <formula>0</formula>
    </cfRule>
  </conditionalFormatting>
  <conditionalFormatting sqref="E5:N5">
    <cfRule type="containsErrors" dxfId="55" priority="4" stopIfTrue="1">
      <formula>ISERROR(E5)</formula>
    </cfRule>
  </conditionalFormatting>
  <conditionalFormatting sqref="E39:N39">
    <cfRule type="containsErrors" dxfId="54" priority="3" stopIfTrue="1">
      <formula>ISERROR(E39)</formula>
    </cfRule>
  </conditionalFormatting>
  <conditionalFormatting sqref="D4:D5">
    <cfRule type="cellIs" dxfId="53" priority="2" stopIfTrue="1" operator="notEqual">
      <formula>1</formula>
    </cfRule>
  </conditionalFormatting>
  <conditionalFormatting sqref="K39">
    <cfRule type="cellIs" dxfId="52" priority="1" operator="greaterThan">
      <formula>$K$4</formula>
    </cfRule>
  </conditionalFormatting>
  <dataValidations count="1">
    <dataValidation type="list" allowBlank="1" showInputMessage="1" showErrorMessage="1" sqref="B2" xr:uid="{00000000-0002-0000-03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Komponenten!$C$2:$C$4</xm:f>
          </x14:formula1>
          <xm:sqref>B4</xm:sqref>
        </x14:dataValidation>
        <x14:dataValidation type="list" allowBlank="1" showInputMessage="1" showErrorMessage="1" xr:uid="{00000000-0002-0000-0300-000002000000}">
          <x14:formula1>
            <xm:f>Komponenten!$Z$2:$Z$5</xm:f>
          </x14:formula1>
          <xm:sqref>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F23" sqref="F23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Schwer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60"/>
    </row>
    <row r="4" spans="1:20" ht="15" customHeight="1" thickBot="1" x14ac:dyDescent="0.25">
      <c r="A4" s="70" t="s">
        <v>132</v>
      </c>
      <c r="B4" s="71" t="s">
        <v>22</v>
      </c>
      <c r="C4" s="74" t="str">
        <f>B4</f>
        <v>Schwer</v>
      </c>
      <c r="D4" s="46">
        <v>1</v>
      </c>
      <c r="E4" s="47">
        <f>$D$4*VLOOKUP($B$4,Rumpf,2,FALSE)*(1+VLOOKUP($B$2,Rassen!$A$2:$L$5,2,FALSE))</f>
        <v>8333.3333333333339</v>
      </c>
      <c r="F4" s="47">
        <f>$D$4*VLOOKUP($B$4,Rumpf,3,FALSE)*(1+VLOOKUP($B$2,Rassen!$A$2:$L$5,2,FALSE))</f>
        <v>1666.6666666666667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35000</v>
      </c>
      <c r="L4" s="47">
        <f>$D$4*VLOOKUP($B$4,Rumpf,9,FALSE)+IF(ISERROR(VLOOKUP($C$2,Rassen!$A$9:$B$11,2,FALSE)),0,VLOOKUP($C$2,Rassen!$A$9:$B$11,2,FALSE))</f>
        <v>25200</v>
      </c>
      <c r="M4" s="47"/>
      <c r="N4" s="47">
        <f>$D$4*VLOOKUP($B$4,Rumpf,11,FALSE)/60</f>
        <v>1344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Schwer</v>
      </c>
      <c r="D5" s="1">
        <v>1</v>
      </c>
      <c r="E5" s="8">
        <f>$D$5*VLOOKUP($C$5,Antrieb,2,FALSE)*(1+VLOOKUP($B$2,Rassen!$A$2:$L$5,2,FALSE))</f>
        <v>20700.000000000004</v>
      </c>
      <c r="F5" s="8">
        <f>$D$5*VLOOKUP($C$5,Antrieb,3,FALSE)*(1+VLOOKUP($B$2,Rassen!$A$2:$L$5,2,FALSE))</f>
        <v>30466.666666666672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41000.000000000007</v>
      </c>
      <c r="I5" s="8">
        <f>$D$5*VLOOKUP($C$5,Antrieb,6,FALSE)*(1+VLOOKUP($B$2,Rassen!$A$2:$L$5,2,FALSE))</f>
        <v>15600.000000000002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-7460</v>
      </c>
      <c r="M5" s="8">
        <f>$D$5*VLOOKUP($C$5,Antrieb,10,FALSE)</f>
        <v>7500</v>
      </c>
      <c r="N5" s="8">
        <f>$D$5*VLOOKUP($C$5,Antrieb,11,FALSE)/60</f>
        <v>900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203" t="s">
        <v>34</v>
      </c>
      <c r="B6" s="211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203"/>
      <c r="B7" s="211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203"/>
      <c r="B8" s="211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203"/>
      <c r="B9" s="212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203"/>
      <c r="B10" s="212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203"/>
      <c r="B11" s="212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203"/>
      <c r="B12" s="212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203"/>
      <c r="B13" s="212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203"/>
      <c r="B14" s="212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203"/>
      <c r="B15" s="213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203"/>
      <c r="B16" s="213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203"/>
      <c r="B17" s="213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203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68" t="str">
        <f>IF(D18&lt;&gt;0,Komponenten!Y27,"")</f>
        <v/>
      </c>
    </row>
    <row r="19" spans="1:19" ht="13.5" thickBot="1" x14ac:dyDescent="0.25">
      <c r="A19" s="203"/>
      <c r="B19" s="212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203"/>
      <c r="B20" s="212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203"/>
      <c r="B21" s="212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203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203"/>
      <c r="B23" s="212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203"/>
      <c r="B24" s="212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203"/>
      <c r="B25" s="212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203"/>
      <c r="B26" s="212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203"/>
      <c r="B27" s="212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203"/>
      <c r="B28" s="212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203"/>
      <c r="B29" s="212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203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203" t="s">
        <v>71</v>
      </c>
      <c r="B31" s="218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70" t="str">
        <f>IF(D31&lt;&gt;0,Komponenten!Y40,"")</f>
        <v/>
      </c>
    </row>
    <row r="32" spans="1:19" ht="13.5" thickBot="1" x14ac:dyDescent="0.25">
      <c r="A32" s="203"/>
      <c r="B32" s="218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203"/>
      <c r="B33" s="218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203"/>
      <c r="B34" s="218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203"/>
      <c r="B35" s="218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203" t="s">
        <v>77</v>
      </c>
      <c r="B36" s="218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61"/>
    </row>
    <row r="37" spans="1:19" ht="13.5" thickBot="1" x14ac:dyDescent="0.25">
      <c r="A37" s="203"/>
      <c r="B37" s="218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203"/>
      <c r="B38" s="218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14" t="s">
        <v>83</v>
      </c>
      <c r="B39" s="215"/>
      <c r="C39" s="22"/>
      <c r="D39" s="11" t="s">
        <v>81</v>
      </c>
      <c r="E39" s="58">
        <f t="shared" ref="E39:Q39" si="0">SUM(E4:E38)</f>
        <v>29033.333333333336</v>
      </c>
      <c r="F39" s="58">
        <f t="shared" si="0"/>
        <v>32133.333333333339</v>
      </c>
      <c r="G39" s="58">
        <f t="shared" si="0"/>
        <v>0</v>
      </c>
      <c r="H39" s="58">
        <f t="shared" si="0"/>
        <v>41000.000000000007</v>
      </c>
      <c r="I39" s="58">
        <f t="shared" si="0"/>
        <v>15600.000000000002</v>
      </c>
      <c r="J39" s="58">
        <f t="shared" si="0"/>
        <v>0</v>
      </c>
      <c r="K39" s="58">
        <f>K4-L39</f>
        <v>17260</v>
      </c>
      <c r="L39" s="58">
        <f t="shared" si="0"/>
        <v>17740</v>
      </c>
      <c r="M39" s="58">
        <f t="shared" si="0"/>
        <v>7500</v>
      </c>
      <c r="N39" s="58">
        <f>SUM(N4:N38)/(Forschungen!C32*1.03^Forschungen!C32)*(1+VLOOKUP($B$2,Rassen!$A$2:$L$5,3,FALSE))</f>
        <v>87.399163225621038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1.5068571428571429</v>
      </c>
      <c r="S39" s="160" t="s">
        <v>234</v>
      </c>
    </row>
    <row r="40" spans="1:19" ht="26.25" thickBot="1" x14ac:dyDescent="0.25">
      <c r="A40" s="216"/>
      <c r="B40" s="217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39:B40"/>
    <mergeCell ref="A6:A17"/>
    <mergeCell ref="B6:B8"/>
    <mergeCell ref="B9:B11"/>
    <mergeCell ref="B12:B14"/>
    <mergeCell ref="B15:B17"/>
    <mergeCell ref="A18:A30"/>
    <mergeCell ref="B19:B21"/>
    <mergeCell ref="B23:B25"/>
    <mergeCell ref="B26:B27"/>
    <mergeCell ref="B28:B29"/>
    <mergeCell ref="A31:A35"/>
    <mergeCell ref="B31:B35"/>
    <mergeCell ref="A36:A38"/>
    <mergeCell ref="B36:B38"/>
  </mergeCells>
  <conditionalFormatting sqref="L39:M39">
    <cfRule type="cellIs" dxfId="51" priority="17" stopIfTrue="1" operator="lessThan">
      <formula>0</formula>
    </cfRule>
  </conditionalFormatting>
  <conditionalFormatting sqref="E39:J39 L39:M39">
    <cfRule type="containsErrors" dxfId="50" priority="15" stopIfTrue="1">
      <formula>ISERROR(E39)</formula>
    </cfRule>
  </conditionalFormatting>
  <conditionalFormatting sqref="L40:M40">
    <cfRule type="cellIs" dxfId="49" priority="13" stopIfTrue="1" operator="lessThan">
      <formula>0</formula>
    </cfRule>
  </conditionalFormatting>
  <conditionalFormatting sqref="N40">
    <cfRule type="cellIs" dxfId="48" priority="10" stopIfTrue="1" operator="lessThan">
      <formula>0</formula>
    </cfRule>
  </conditionalFormatting>
  <conditionalFormatting sqref="N5">
    <cfRule type="containsErrors" dxfId="47" priority="9" stopIfTrue="1">
      <formula>ISERROR(N5)</formula>
    </cfRule>
  </conditionalFormatting>
  <conditionalFormatting sqref="K39">
    <cfRule type="containsErrors" dxfId="46" priority="7" stopIfTrue="1">
      <formula>ISERROR(K39)</formula>
    </cfRule>
  </conditionalFormatting>
  <conditionalFormatting sqref="K39">
    <cfRule type="cellIs" dxfId="45" priority="6" operator="greaterThan">
      <formula>$K$4</formula>
    </cfRule>
  </conditionalFormatting>
  <conditionalFormatting sqref="N39">
    <cfRule type="cellIs" dxfId="44" priority="5" stopIfTrue="1" operator="lessThan">
      <formula>0</formula>
    </cfRule>
  </conditionalFormatting>
  <conditionalFormatting sqref="N39">
    <cfRule type="containsErrors" dxfId="43" priority="4" stopIfTrue="1">
      <formula>ISERROR(N39)</formula>
    </cfRule>
  </conditionalFormatting>
  <conditionalFormatting sqref="E5:M5">
    <cfRule type="containsErrors" dxfId="42" priority="2" stopIfTrue="1">
      <formula>ISERROR(E5)</formula>
    </cfRule>
  </conditionalFormatting>
  <conditionalFormatting sqref="D4:D5">
    <cfRule type="cellIs" dxfId="41" priority="1" stopIfTrue="1" operator="notEqual">
      <formula>1</formula>
    </cfRule>
  </conditionalFormatting>
  <dataValidations count="1">
    <dataValidation type="list" allowBlank="1" showInputMessage="1" showErrorMessage="1" sqref="B2" xr:uid="{00000000-0002-0000-04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1BED46-8050-49A7-87EA-225CA31D2D32}">
          <x14:formula1>
            <xm:f>Komponenten!$C$2:$C$4</xm:f>
          </x14:formula1>
          <xm:sqref>B4</xm:sqref>
        </x14:dataValidation>
        <x14:dataValidation type="list" allowBlank="1" showInputMessage="1" showErrorMessage="1" xr:uid="{E09FB8FF-A50B-4D3B-B1F2-4C229EA4472C}">
          <x14:formula1>
            <xm:f>Komponenten!$Z$2:$Z$5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D12" sqref="D12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Schwer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60"/>
    </row>
    <row r="4" spans="1:20" ht="15" customHeight="1" thickBot="1" x14ac:dyDescent="0.25">
      <c r="A4" s="70" t="s">
        <v>132</v>
      </c>
      <c r="B4" s="71" t="s">
        <v>22</v>
      </c>
      <c r="C4" s="74" t="str">
        <f>B4</f>
        <v>Schwer</v>
      </c>
      <c r="D4" s="46">
        <v>1</v>
      </c>
      <c r="E4" s="47">
        <f>$D$4*VLOOKUP($B$4,Rumpf,2,FALSE)*(1+VLOOKUP($B$2,Rassen!$A$2:$L$5,2,FALSE))</f>
        <v>8333.3333333333339</v>
      </c>
      <c r="F4" s="47">
        <f>$D$4*VLOOKUP($B$4,Rumpf,3,FALSE)*(1+VLOOKUP($B$2,Rassen!$A$2:$L$5,2,FALSE))</f>
        <v>1666.6666666666667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35000</v>
      </c>
      <c r="L4" s="47">
        <f>$D$4*VLOOKUP($B$4,Rumpf,9,FALSE)+IF(ISERROR(VLOOKUP($C$2,Rassen!$A$9:$B$11,2,FALSE)),0,VLOOKUP($C$2,Rassen!$A$9:$B$11,2,FALSE))</f>
        <v>25200</v>
      </c>
      <c r="M4" s="47"/>
      <c r="N4" s="47">
        <f>$D$4*VLOOKUP($B$4,Rumpf,11,FALSE)/60</f>
        <v>1344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Schwer</v>
      </c>
      <c r="D5" s="1">
        <v>1</v>
      </c>
      <c r="E5" s="8">
        <f>$D$5*VLOOKUP($C$5,Antrieb,2,FALSE)*(1+VLOOKUP($B$2,Rassen!$A$2:$L$5,2,FALSE))</f>
        <v>20700.000000000004</v>
      </c>
      <c r="F5" s="8">
        <f>$D$5*VLOOKUP($C$5,Antrieb,3,FALSE)*(1+VLOOKUP($B$2,Rassen!$A$2:$L$5,2,FALSE))</f>
        <v>30466.666666666672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41000.000000000007</v>
      </c>
      <c r="I5" s="8">
        <f>$D$5*VLOOKUP($C$5,Antrieb,6,FALSE)*(1+VLOOKUP($B$2,Rassen!$A$2:$L$5,2,FALSE))</f>
        <v>15600.000000000002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-7460</v>
      </c>
      <c r="M5" s="8">
        <f>$D$5*VLOOKUP($C$5,Antrieb,10,FALSE)</f>
        <v>7500</v>
      </c>
      <c r="N5" s="8">
        <f>$D$5*VLOOKUP($C$5,Antrieb,11,FALSE)/60</f>
        <v>900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203" t="s">
        <v>34</v>
      </c>
      <c r="B6" s="211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203"/>
      <c r="B7" s="211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203"/>
      <c r="B8" s="211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203"/>
      <c r="B9" s="212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203"/>
      <c r="B10" s="212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203"/>
      <c r="B11" s="212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203"/>
      <c r="B12" s="212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203"/>
      <c r="B13" s="212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203"/>
      <c r="B14" s="212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203"/>
      <c r="B15" s="213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203"/>
      <c r="B16" s="213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203"/>
      <c r="B17" s="213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203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68" t="str">
        <f>IF(D18&lt;&gt;0,Komponenten!Y27,"")</f>
        <v/>
      </c>
    </row>
    <row r="19" spans="1:19" ht="13.5" thickBot="1" x14ac:dyDescent="0.25">
      <c r="A19" s="203"/>
      <c r="B19" s="212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203"/>
      <c r="B20" s="212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203"/>
      <c r="B21" s="212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203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203"/>
      <c r="B23" s="212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203"/>
      <c r="B24" s="212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203"/>
      <c r="B25" s="212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203"/>
      <c r="B26" s="212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203"/>
      <c r="B27" s="212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203"/>
      <c r="B28" s="212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203"/>
      <c r="B29" s="212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203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203" t="s">
        <v>71</v>
      </c>
      <c r="B31" s="218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70" t="str">
        <f>IF(D31&lt;&gt;0,Komponenten!Y40,"")</f>
        <v/>
      </c>
    </row>
    <row r="32" spans="1:19" ht="13.5" thickBot="1" x14ac:dyDescent="0.25">
      <c r="A32" s="203"/>
      <c r="B32" s="218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203"/>
      <c r="B33" s="218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203"/>
      <c r="B34" s="218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203"/>
      <c r="B35" s="218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203" t="s">
        <v>77</v>
      </c>
      <c r="B36" s="218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61"/>
    </row>
    <row r="37" spans="1:19" ht="13.5" thickBot="1" x14ac:dyDescent="0.25">
      <c r="A37" s="203"/>
      <c r="B37" s="218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203"/>
      <c r="B38" s="218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14" t="s">
        <v>83</v>
      </c>
      <c r="B39" s="215"/>
      <c r="C39" s="22"/>
      <c r="D39" s="11" t="s">
        <v>81</v>
      </c>
      <c r="E39" s="58">
        <f t="shared" ref="E39:Q39" si="0">SUM(E4:E38)</f>
        <v>29033.333333333336</v>
      </c>
      <c r="F39" s="58">
        <f t="shared" si="0"/>
        <v>32133.333333333339</v>
      </c>
      <c r="G39" s="58">
        <f t="shared" si="0"/>
        <v>0</v>
      </c>
      <c r="H39" s="58">
        <f t="shared" si="0"/>
        <v>41000.000000000007</v>
      </c>
      <c r="I39" s="58">
        <f t="shared" si="0"/>
        <v>15600.000000000002</v>
      </c>
      <c r="J39" s="58">
        <f t="shared" si="0"/>
        <v>0</v>
      </c>
      <c r="K39" s="58">
        <f>K4-L39</f>
        <v>17260</v>
      </c>
      <c r="L39" s="58">
        <f t="shared" si="0"/>
        <v>17740</v>
      </c>
      <c r="M39" s="58">
        <f t="shared" si="0"/>
        <v>7500</v>
      </c>
      <c r="N39" s="58">
        <f>SUM(N4:N38)/(Forschungen!C32*1.03^Forschungen!C32)*(1+VLOOKUP($B$2,Rassen!$A$2:$L$5,3,FALSE))</f>
        <v>87.399163225621038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1.5068571428571429</v>
      </c>
      <c r="S39" s="160" t="s">
        <v>233</v>
      </c>
    </row>
    <row r="40" spans="1:19" ht="26.25" thickBot="1" x14ac:dyDescent="0.25">
      <c r="A40" s="216"/>
      <c r="B40" s="217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39:B40"/>
    <mergeCell ref="A6:A17"/>
    <mergeCell ref="B6:B8"/>
    <mergeCell ref="B9:B11"/>
    <mergeCell ref="B12:B14"/>
    <mergeCell ref="B15:B17"/>
    <mergeCell ref="A18:A30"/>
    <mergeCell ref="B19:B21"/>
    <mergeCell ref="B23:B25"/>
    <mergeCell ref="B26:B27"/>
    <mergeCell ref="B28:B29"/>
    <mergeCell ref="A31:A35"/>
    <mergeCell ref="B31:B35"/>
    <mergeCell ref="A36:A38"/>
    <mergeCell ref="B36:B38"/>
  </mergeCells>
  <conditionalFormatting sqref="L39:M39">
    <cfRule type="cellIs" dxfId="40" priority="17" stopIfTrue="1" operator="lessThan">
      <formula>0</formula>
    </cfRule>
  </conditionalFormatting>
  <conditionalFormatting sqref="E39:J39 L39:M39">
    <cfRule type="containsErrors" dxfId="39" priority="15" stopIfTrue="1">
      <formula>ISERROR(E39)</formula>
    </cfRule>
  </conditionalFormatting>
  <conditionalFormatting sqref="L40:M40">
    <cfRule type="cellIs" dxfId="38" priority="13" stopIfTrue="1" operator="lessThan">
      <formula>0</formula>
    </cfRule>
  </conditionalFormatting>
  <conditionalFormatting sqref="N40">
    <cfRule type="cellIs" dxfId="37" priority="10" stopIfTrue="1" operator="lessThan">
      <formula>0</formula>
    </cfRule>
  </conditionalFormatting>
  <conditionalFormatting sqref="N5">
    <cfRule type="containsErrors" dxfId="36" priority="9" stopIfTrue="1">
      <formula>ISERROR(N5)</formula>
    </cfRule>
  </conditionalFormatting>
  <conditionalFormatting sqref="K39">
    <cfRule type="containsErrors" dxfId="35" priority="7" stopIfTrue="1">
      <formula>ISERROR(K39)</formula>
    </cfRule>
  </conditionalFormatting>
  <conditionalFormatting sqref="K39">
    <cfRule type="cellIs" dxfId="34" priority="6" operator="greaterThan">
      <formula>$K$4</formula>
    </cfRule>
  </conditionalFormatting>
  <conditionalFormatting sqref="N39">
    <cfRule type="cellIs" dxfId="33" priority="5" stopIfTrue="1" operator="lessThan">
      <formula>0</formula>
    </cfRule>
  </conditionalFormatting>
  <conditionalFormatting sqref="N39">
    <cfRule type="containsErrors" dxfId="32" priority="4" stopIfTrue="1">
      <formula>ISERROR(N39)</formula>
    </cfRule>
  </conditionalFormatting>
  <conditionalFormatting sqref="E5:M5">
    <cfRule type="containsErrors" dxfId="31" priority="2" stopIfTrue="1">
      <formula>ISERROR(E5)</formula>
    </cfRule>
  </conditionalFormatting>
  <conditionalFormatting sqref="D4:D5">
    <cfRule type="cellIs" dxfId="30" priority="1" stopIfTrue="1" operator="notEqual">
      <formula>1</formula>
    </cfRule>
  </conditionalFormatting>
  <dataValidations count="1">
    <dataValidation type="list" allowBlank="1" showInputMessage="1" showErrorMessage="1" sqref="B2" xr:uid="{00000000-0002-0000-05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5B50E4-3636-47FA-BD12-3675D8BD699A}">
          <x14:formula1>
            <xm:f>Komponenten!$Z$2:$Z$5</xm:f>
          </x14:formula1>
          <xm:sqref>B5</xm:sqref>
        </x14:dataValidation>
        <x14:dataValidation type="list" allowBlank="1" showInputMessage="1" showErrorMessage="1" xr:uid="{AFD1F02D-5E41-4CCF-BDA1-00248739ADFF}">
          <x14:formula1>
            <xm:f>Komponenten!$C$2:$C$4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B3" sqref="B3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Schwer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195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60"/>
    </row>
    <row r="4" spans="1:20" ht="15" customHeight="1" thickBot="1" x14ac:dyDescent="0.25">
      <c r="A4" s="70" t="s">
        <v>132</v>
      </c>
      <c r="B4" s="71" t="s">
        <v>22</v>
      </c>
      <c r="C4" s="74" t="str">
        <f>B4</f>
        <v>Schwer</v>
      </c>
      <c r="D4" s="46">
        <v>1</v>
      </c>
      <c r="E4" s="47">
        <f>$D$4*VLOOKUP($B$4,Rumpf,2,FALSE)*(1+VLOOKUP($B$2,Rassen!$A$2:$L$5,2,FALSE))</f>
        <v>8333.3333333333339</v>
      </c>
      <c r="F4" s="47">
        <f>$D$4*VLOOKUP($B$4,Rumpf,3,FALSE)*(1+VLOOKUP($B$2,Rassen!$A$2:$L$5,2,FALSE))</f>
        <v>1666.6666666666667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35000</v>
      </c>
      <c r="L4" s="47">
        <f>$D$4*VLOOKUP($B$4,Rumpf,9,FALSE)+IF(ISERROR(VLOOKUP($C$2,Rassen!$A$9:$B$11,2,FALSE)),0,VLOOKUP($C$2,Rassen!$A$9:$B$11,2,FALSE))</f>
        <v>25200</v>
      </c>
      <c r="M4" s="47"/>
      <c r="N4" s="47">
        <f>$D$4*VLOOKUP($B$4,Rumpf,11,FALSE)/60</f>
        <v>1344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Schwer</v>
      </c>
      <c r="D5" s="1">
        <v>1</v>
      </c>
      <c r="E5" s="8">
        <f>$D$5*VLOOKUP($C$5,Antrieb,2,FALSE)*(1+VLOOKUP($B$2,Rassen!$A$2:$L$5,2,FALSE))</f>
        <v>20700.000000000004</v>
      </c>
      <c r="F5" s="8">
        <f>$D$5*VLOOKUP($C$5,Antrieb,3,FALSE)*(1+VLOOKUP($B$2,Rassen!$A$2:$L$5,2,FALSE))</f>
        <v>30466.666666666672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41000.000000000007</v>
      </c>
      <c r="I5" s="8">
        <f>$D$5*VLOOKUP($C$5,Antrieb,6,FALSE)*(1+VLOOKUP($B$2,Rassen!$A$2:$L$5,2,FALSE))</f>
        <v>15600.000000000002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-7460</v>
      </c>
      <c r="M5" s="8">
        <f>$D$5*VLOOKUP($C$5,Antrieb,10,FALSE)</f>
        <v>7500</v>
      </c>
      <c r="N5" s="8">
        <f>$D$5*VLOOKUP($C$5,Antrieb,11,FALSE)/60</f>
        <v>900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203" t="s">
        <v>34</v>
      </c>
      <c r="B6" s="211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203"/>
      <c r="B7" s="211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203"/>
      <c r="B8" s="211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203"/>
      <c r="B9" s="212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203"/>
      <c r="B10" s="212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203"/>
      <c r="B11" s="212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203"/>
      <c r="B12" s="212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203"/>
      <c r="B13" s="212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203"/>
      <c r="B14" s="212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203"/>
      <c r="B15" s="213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203"/>
      <c r="B16" s="213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203"/>
      <c r="B17" s="213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203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68" t="str">
        <f>IF(D18&lt;&gt;0,Komponenten!Y27,"")</f>
        <v/>
      </c>
    </row>
    <row r="19" spans="1:19" ht="13.5" thickBot="1" x14ac:dyDescent="0.25">
      <c r="A19" s="203"/>
      <c r="B19" s="212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203"/>
      <c r="B20" s="212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203"/>
      <c r="B21" s="212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203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203"/>
      <c r="B23" s="212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203"/>
      <c r="B24" s="212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203"/>
      <c r="B25" s="212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203"/>
      <c r="B26" s="212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203"/>
      <c r="B27" s="212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203"/>
      <c r="B28" s="212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203"/>
      <c r="B29" s="212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203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203" t="s">
        <v>71</v>
      </c>
      <c r="B31" s="218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70" t="str">
        <f>IF(D31&lt;&gt;0,Komponenten!Y40,"")</f>
        <v/>
      </c>
    </row>
    <row r="32" spans="1:19" ht="13.5" thickBot="1" x14ac:dyDescent="0.25">
      <c r="A32" s="203"/>
      <c r="B32" s="218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203"/>
      <c r="B33" s="218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203"/>
      <c r="B34" s="218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203"/>
      <c r="B35" s="218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203" t="s">
        <v>77</v>
      </c>
      <c r="B36" s="218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61"/>
    </row>
    <row r="37" spans="1:19" ht="13.5" thickBot="1" x14ac:dyDescent="0.25">
      <c r="A37" s="203"/>
      <c r="B37" s="218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203"/>
      <c r="B38" s="218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14" t="s">
        <v>83</v>
      </c>
      <c r="B39" s="215"/>
      <c r="C39" s="22"/>
      <c r="D39" s="11" t="s">
        <v>81</v>
      </c>
      <c r="E39" s="58">
        <f t="shared" ref="E39:Q39" si="0">SUM(E4:E38)</f>
        <v>29033.333333333336</v>
      </c>
      <c r="F39" s="58">
        <f t="shared" si="0"/>
        <v>32133.333333333339</v>
      </c>
      <c r="G39" s="58">
        <f t="shared" si="0"/>
        <v>0</v>
      </c>
      <c r="H39" s="58">
        <f t="shared" si="0"/>
        <v>41000.000000000007</v>
      </c>
      <c r="I39" s="58">
        <f t="shared" si="0"/>
        <v>15600.000000000002</v>
      </c>
      <c r="J39" s="58">
        <f t="shared" si="0"/>
        <v>0</v>
      </c>
      <c r="K39" s="58">
        <f>K4-L39</f>
        <v>17260</v>
      </c>
      <c r="L39" s="58">
        <f t="shared" si="0"/>
        <v>17740</v>
      </c>
      <c r="M39" s="58">
        <f t="shared" si="0"/>
        <v>7500</v>
      </c>
      <c r="N39" s="58">
        <f>SUM(N4:N38)/(Forschungen!C32*1.03^Forschungen!C32)*(1+VLOOKUP($B$2,Rassen!$A$2:$L$5,3,FALSE))</f>
        <v>87.399163225621038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1.5068571428571429</v>
      </c>
      <c r="S39" s="160" t="s">
        <v>209</v>
      </c>
    </row>
    <row r="40" spans="1:19" ht="26.25" thickBot="1" x14ac:dyDescent="0.25">
      <c r="A40" s="216"/>
      <c r="B40" s="217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6:A17"/>
    <mergeCell ref="B6:B8"/>
    <mergeCell ref="B9:B11"/>
    <mergeCell ref="B12:B14"/>
    <mergeCell ref="B15:B17"/>
    <mergeCell ref="A31:A35"/>
    <mergeCell ref="B31:B35"/>
    <mergeCell ref="A36:A38"/>
    <mergeCell ref="B36:B38"/>
    <mergeCell ref="A39:B40"/>
    <mergeCell ref="A18:A30"/>
    <mergeCell ref="B19:B21"/>
    <mergeCell ref="B23:B25"/>
    <mergeCell ref="B26:B27"/>
    <mergeCell ref="B28:B29"/>
  </mergeCells>
  <conditionalFormatting sqref="L39:M39">
    <cfRule type="cellIs" dxfId="29" priority="17" stopIfTrue="1" operator="lessThan">
      <formula>0</formula>
    </cfRule>
  </conditionalFormatting>
  <conditionalFormatting sqref="E39:J39 L39:M39">
    <cfRule type="containsErrors" dxfId="28" priority="15" stopIfTrue="1">
      <formula>ISERROR(E39)</formula>
    </cfRule>
  </conditionalFormatting>
  <conditionalFormatting sqref="L40:M40">
    <cfRule type="cellIs" dxfId="27" priority="13" stopIfTrue="1" operator="lessThan">
      <formula>0</formula>
    </cfRule>
  </conditionalFormatting>
  <conditionalFormatting sqref="N40">
    <cfRule type="cellIs" dxfId="26" priority="10" stopIfTrue="1" operator="lessThan">
      <formula>0</formula>
    </cfRule>
  </conditionalFormatting>
  <conditionalFormatting sqref="N5">
    <cfRule type="containsErrors" dxfId="25" priority="9" stopIfTrue="1">
      <formula>ISERROR(N5)</formula>
    </cfRule>
  </conditionalFormatting>
  <conditionalFormatting sqref="K39">
    <cfRule type="containsErrors" dxfId="24" priority="7" stopIfTrue="1">
      <formula>ISERROR(K39)</formula>
    </cfRule>
  </conditionalFormatting>
  <conditionalFormatting sqref="K39">
    <cfRule type="cellIs" dxfId="23" priority="6" operator="greaterThan">
      <formula>$K$4</formula>
    </cfRule>
  </conditionalFormatting>
  <conditionalFormatting sqref="N39">
    <cfRule type="cellIs" dxfId="22" priority="5" stopIfTrue="1" operator="lessThan">
      <formula>0</formula>
    </cfRule>
  </conditionalFormatting>
  <conditionalFormatting sqref="N39">
    <cfRule type="containsErrors" dxfId="21" priority="4" stopIfTrue="1">
      <formula>ISERROR(N39)</formula>
    </cfRule>
  </conditionalFormatting>
  <conditionalFormatting sqref="E5:M5">
    <cfRule type="containsErrors" dxfId="20" priority="2" stopIfTrue="1">
      <formula>ISERROR(E5)</formula>
    </cfRule>
  </conditionalFormatting>
  <conditionalFormatting sqref="D4:D5">
    <cfRule type="cellIs" dxfId="19" priority="1" stopIfTrue="1" operator="notEqual">
      <formula>1</formula>
    </cfRule>
  </conditionalFormatting>
  <dataValidations count="1">
    <dataValidation type="list" allowBlank="1" showInputMessage="1" showErrorMessage="1" sqref="B2" xr:uid="{00000000-0002-0000-06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FD4B9F-7F92-4019-AF56-C605503B4E1C}">
          <x14:formula1>
            <xm:f>Komponenten!$C$2:$C$4</xm:f>
          </x14:formula1>
          <xm:sqref>B4</xm:sqref>
        </x14:dataValidation>
        <x14:dataValidation type="list" allowBlank="1" showInputMessage="1" showErrorMessage="1" xr:uid="{7E6922B5-D60C-47DF-B321-A7EFDDAB91E1}">
          <x14:formula1>
            <xm:f>Komponenten!$Z$2:$Z$5</xm:f>
          </x14:formula1>
          <xm:sqref>B5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T40"/>
  <sheetViews>
    <sheetView zoomScaleNormal="100" workbookViewId="0">
      <pane xSplit="4" ySplit="5" topLeftCell="F6" activePane="bottomRight" state="frozenSplit"/>
      <selection pane="topRight" activeCell="H1" sqref="H1"/>
      <selection pane="bottomLeft" activeCell="A14" sqref="A14"/>
      <selection pane="bottomRight" activeCell="D7" sqref="D7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6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Leicht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74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75"/>
    </row>
    <row r="4" spans="1:20" ht="15" customHeight="1" thickBot="1" x14ac:dyDescent="0.25">
      <c r="A4" s="70" t="s">
        <v>132</v>
      </c>
      <c r="B4" s="71" t="s">
        <v>20</v>
      </c>
      <c r="C4" s="74" t="str">
        <f>B4</f>
        <v>Leicht</v>
      </c>
      <c r="D4" s="46">
        <v>1</v>
      </c>
      <c r="E4" s="47">
        <f>$D$4*VLOOKUP($B$4,Rumpf,2,FALSE)*(1+VLOOKUP($B$2,Rassen!$A$2:$L$5,2,FALSE))</f>
        <v>666.66666666666674</v>
      </c>
      <c r="F4" s="47">
        <f>$D$4*VLOOKUP($B$4,Rumpf,3,FALSE)*(1+VLOOKUP($B$2,Rassen!$A$2:$L$5,2,FALSE))</f>
        <v>133.33333333333334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1500</v>
      </c>
      <c r="L4" s="47">
        <f>$D$4*VLOOKUP($B$4,Rumpf,9,FALSE)+IF(ISERROR(VLOOKUP($C$2,Rassen!$A$9:$B$11,2,FALSE)),0,VLOOKUP($C$2,Rassen!$A$9:$B$11,2,FALSE))</f>
        <v>1100</v>
      </c>
      <c r="M4" s="47"/>
      <c r="N4" s="47">
        <f>$D$4*VLOOKUP($B$4,Rumpf,11,FALSE)/60</f>
        <v>36</v>
      </c>
      <c r="O4" s="47"/>
      <c r="P4" s="47"/>
      <c r="Q4" s="48"/>
      <c r="R4" s="48"/>
      <c r="S4" s="176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Leicht</v>
      </c>
      <c r="D5" s="1">
        <v>1</v>
      </c>
      <c r="E5" s="8">
        <f>$D$5*VLOOKUP($C$5,Antrieb,2,FALSE)*(1+VLOOKUP($B$2,Rassen!$A$2:$L$5,2,FALSE))</f>
        <v>566.66666666666674</v>
      </c>
      <c r="F5" s="8">
        <f>$D$5*VLOOKUP($C$5,Antrieb,3,FALSE)*(1+VLOOKUP($B$2,Rassen!$A$2:$L$5,2,FALSE))</f>
        <v>1100.0000000000002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1383.3333333333335</v>
      </c>
      <c r="I5" s="8">
        <f>$D$5*VLOOKUP($C$5,Antrieb,6,FALSE)*(1+VLOOKUP($B$2,Rassen!$A$2:$L$5,2,FALSE))</f>
        <v>1733.3333333333335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-260</v>
      </c>
      <c r="M5" s="8">
        <f>$D$5*VLOOKUP($C$5,Antrieb,10,FALSE)</f>
        <v>300</v>
      </c>
      <c r="N5" s="8">
        <f>$D$5*VLOOKUP($C$5,Antrieb,11,FALSE)/60</f>
        <v>300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203" t="s">
        <v>34</v>
      </c>
      <c r="B6" s="211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203"/>
      <c r="B7" s="211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77" t="str">
        <f>IF(D7&lt;&gt;0,Komponenten!Y16,"")</f>
        <v/>
      </c>
    </row>
    <row r="8" spans="1:20" ht="13.5" thickBot="1" x14ac:dyDescent="0.25">
      <c r="A8" s="203"/>
      <c r="B8" s="211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77" t="str">
        <f>IF(D8&lt;&gt;0,Komponenten!Y17,"")</f>
        <v/>
      </c>
    </row>
    <row r="9" spans="1:20" ht="13.5" thickBot="1" x14ac:dyDescent="0.25">
      <c r="A9" s="203"/>
      <c r="B9" s="212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77" t="str">
        <f>IF(D9&lt;&gt;0,Komponenten!Y18,"")</f>
        <v/>
      </c>
    </row>
    <row r="10" spans="1:20" ht="13.5" thickBot="1" x14ac:dyDescent="0.25">
      <c r="A10" s="203"/>
      <c r="B10" s="212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77" t="str">
        <f>IF(D10&lt;&gt;0,Komponenten!Y19,"")</f>
        <v/>
      </c>
    </row>
    <row r="11" spans="1:20" ht="13.5" thickBot="1" x14ac:dyDescent="0.25">
      <c r="A11" s="203"/>
      <c r="B11" s="212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77" t="str">
        <f>IF(D11&lt;&gt;0,Komponenten!Y20,"")</f>
        <v/>
      </c>
    </row>
    <row r="12" spans="1:20" ht="13.5" thickBot="1" x14ac:dyDescent="0.25">
      <c r="A12" s="203"/>
      <c r="B12" s="212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77" t="str">
        <f>IF(D12&lt;&gt;0,Komponenten!Y21,"")</f>
        <v/>
      </c>
    </row>
    <row r="13" spans="1:20" ht="13.5" thickBot="1" x14ac:dyDescent="0.25">
      <c r="A13" s="203"/>
      <c r="B13" s="212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77" t="str">
        <f>IF(D13&lt;&gt;0,Komponenten!Y22,"")</f>
        <v/>
      </c>
    </row>
    <row r="14" spans="1:20" ht="13.5" thickBot="1" x14ac:dyDescent="0.25">
      <c r="A14" s="203"/>
      <c r="B14" s="212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77" t="str">
        <f>IF(D14&lt;&gt;0,Komponenten!Y23,"")</f>
        <v/>
      </c>
    </row>
    <row r="15" spans="1:20" ht="13.5" thickBot="1" x14ac:dyDescent="0.25">
      <c r="A15" s="203"/>
      <c r="B15" s="213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77" t="str">
        <f>IF(D15&lt;&gt;0,Komponenten!Y24,"")</f>
        <v/>
      </c>
    </row>
    <row r="16" spans="1:20" ht="13.5" thickBot="1" x14ac:dyDescent="0.25">
      <c r="A16" s="203"/>
      <c r="B16" s="213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77" t="str">
        <f>IF(D16&lt;&gt;0,Komponenten!Y25,"")</f>
        <v/>
      </c>
    </row>
    <row r="17" spans="1:19" ht="13.5" thickBot="1" x14ac:dyDescent="0.25">
      <c r="A17" s="203"/>
      <c r="B17" s="213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78" t="str">
        <f>IF(D17&lt;&gt;0,Komponenten!Y26,"")</f>
        <v/>
      </c>
    </row>
    <row r="18" spans="1:19" ht="12.75" customHeight="1" thickBot="1" x14ac:dyDescent="0.25">
      <c r="A18" s="203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79" t="str">
        <f>IF(D18&lt;&gt;0,Komponenten!Y27,"")</f>
        <v/>
      </c>
    </row>
    <row r="19" spans="1:19" ht="13.5" thickBot="1" x14ac:dyDescent="0.25">
      <c r="A19" s="203"/>
      <c r="B19" s="212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77" t="str">
        <f>IF(D19&lt;&gt;0,Komponenten!Y28,"")</f>
        <v/>
      </c>
    </row>
    <row r="20" spans="1:19" ht="13.5" thickBot="1" x14ac:dyDescent="0.25">
      <c r="A20" s="203"/>
      <c r="B20" s="212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77" t="str">
        <f>IF(D20&lt;&gt;0,Komponenten!Y29,"")</f>
        <v/>
      </c>
    </row>
    <row r="21" spans="1:19" ht="13.5" thickBot="1" x14ac:dyDescent="0.25">
      <c r="A21" s="203"/>
      <c r="B21" s="212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77" t="str">
        <f>IF(D21&lt;&gt;0,Komponenten!Y30,"")</f>
        <v/>
      </c>
    </row>
    <row r="22" spans="1:19" ht="13.5" thickBot="1" x14ac:dyDescent="0.25">
      <c r="A22" s="203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77" t="str">
        <f>IF(D22&lt;&gt;0,Komponenten!Y31,"")</f>
        <v/>
      </c>
    </row>
    <row r="23" spans="1:19" ht="13.5" thickBot="1" x14ac:dyDescent="0.25">
      <c r="A23" s="203"/>
      <c r="B23" s="212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77" t="str">
        <f>IF(D23&lt;&gt;0,Komponenten!Y32,"")</f>
        <v/>
      </c>
    </row>
    <row r="24" spans="1:19" ht="13.5" thickBot="1" x14ac:dyDescent="0.25">
      <c r="A24" s="203"/>
      <c r="B24" s="212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77" t="str">
        <f>IF(D24&lt;&gt;0,Komponenten!Y33,"")</f>
        <v/>
      </c>
    </row>
    <row r="25" spans="1:19" ht="13.5" thickBot="1" x14ac:dyDescent="0.25">
      <c r="A25" s="203"/>
      <c r="B25" s="212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77" t="str">
        <f>IF(D25&lt;&gt;0,Komponenten!Y34,"")</f>
        <v/>
      </c>
    </row>
    <row r="26" spans="1:19" ht="13.5" thickBot="1" x14ac:dyDescent="0.25">
      <c r="A26" s="203"/>
      <c r="B26" s="212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77" t="str">
        <f>IF(D26&lt;&gt;0,Komponenten!Y35,"")</f>
        <v/>
      </c>
    </row>
    <row r="27" spans="1:19" ht="13.5" thickBot="1" x14ac:dyDescent="0.25">
      <c r="A27" s="203"/>
      <c r="B27" s="212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77" t="str">
        <f>IF(D27&lt;&gt;0,Komponenten!Y36,"")</f>
        <v/>
      </c>
    </row>
    <row r="28" spans="1:19" ht="13.5" thickBot="1" x14ac:dyDescent="0.25">
      <c r="A28" s="203"/>
      <c r="B28" s="212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77" t="str">
        <f>IF(D28&lt;&gt;0,Komponenten!Y37,"")</f>
        <v/>
      </c>
    </row>
    <row r="29" spans="1:19" ht="13.5" thickBot="1" x14ac:dyDescent="0.25">
      <c r="A29" s="203"/>
      <c r="B29" s="212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77" t="str">
        <f>IF(D29&lt;&gt;0,Komponenten!Y38,"")</f>
        <v/>
      </c>
    </row>
    <row r="30" spans="1:19" ht="13.5" thickBot="1" x14ac:dyDescent="0.25">
      <c r="A30" s="203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80" t="str">
        <f>IF(D30&lt;&gt;0,Komponenten!Y39,"")</f>
        <v/>
      </c>
    </row>
    <row r="31" spans="1:19" ht="12.75" customHeight="1" thickBot="1" x14ac:dyDescent="0.25">
      <c r="A31" s="203" t="s">
        <v>71</v>
      </c>
      <c r="B31" s="218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81" t="str">
        <f>IF(D31&lt;&gt;0,Komponenten!Y40,"")</f>
        <v/>
      </c>
    </row>
    <row r="32" spans="1:19" ht="13.5" thickBot="1" x14ac:dyDescent="0.25">
      <c r="A32" s="203"/>
      <c r="B32" s="218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77" t="str">
        <f>IF(D32&lt;&gt;0,Komponenten!Y41,"")</f>
        <v/>
      </c>
    </row>
    <row r="33" spans="1:19" ht="13.5" thickBot="1" x14ac:dyDescent="0.25">
      <c r="A33" s="203"/>
      <c r="B33" s="218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77" t="str">
        <f>IF(D33&lt;&gt;0,Komponenten!Y42,"")</f>
        <v/>
      </c>
    </row>
    <row r="34" spans="1:19" ht="13.5" thickBot="1" x14ac:dyDescent="0.25">
      <c r="A34" s="203"/>
      <c r="B34" s="218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77" t="str">
        <f>IF(D34&lt;&gt;0,Komponenten!Y43,"")</f>
        <v/>
      </c>
    </row>
    <row r="35" spans="1:19" ht="13.5" thickBot="1" x14ac:dyDescent="0.25">
      <c r="A35" s="203"/>
      <c r="B35" s="218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78" t="str">
        <f>IF(D35&lt;&gt;0,Komponenten!Y44,"")</f>
        <v/>
      </c>
    </row>
    <row r="36" spans="1:19" ht="12.75" customHeight="1" thickBot="1" x14ac:dyDescent="0.25">
      <c r="A36" s="203" t="s">
        <v>77</v>
      </c>
      <c r="B36" s="218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82"/>
    </row>
    <row r="37" spans="1:19" ht="13.5" thickBot="1" x14ac:dyDescent="0.25">
      <c r="A37" s="203"/>
      <c r="B37" s="218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76"/>
    </row>
    <row r="38" spans="1:19" ht="13.5" thickBot="1" x14ac:dyDescent="0.25">
      <c r="A38" s="203"/>
      <c r="B38" s="218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83"/>
    </row>
    <row r="39" spans="1:19" x14ac:dyDescent="0.2">
      <c r="A39" s="214" t="s">
        <v>83</v>
      </c>
      <c r="B39" s="215"/>
      <c r="C39" s="22"/>
      <c r="D39" s="11" t="s">
        <v>81</v>
      </c>
      <c r="E39" s="58">
        <f t="shared" ref="E39:Q39" si="0">SUM(E4:E38)</f>
        <v>1233.3333333333335</v>
      </c>
      <c r="F39" s="58">
        <f t="shared" si="0"/>
        <v>1233.3333333333335</v>
      </c>
      <c r="G39" s="58">
        <f t="shared" si="0"/>
        <v>0</v>
      </c>
      <c r="H39" s="58">
        <f t="shared" si="0"/>
        <v>1383.3333333333335</v>
      </c>
      <c r="I39" s="58">
        <f t="shared" si="0"/>
        <v>1733.3333333333335</v>
      </c>
      <c r="J39" s="58">
        <f t="shared" si="0"/>
        <v>0</v>
      </c>
      <c r="K39" s="58">
        <f>K4-L39</f>
        <v>660</v>
      </c>
      <c r="L39" s="58">
        <f t="shared" si="0"/>
        <v>840</v>
      </c>
      <c r="M39" s="58">
        <f t="shared" si="0"/>
        <v>300</v>
      </c>
      <c r="N39" s="58">
        <f>SUM(N4:N38)/(Forschungen!C32*1.03^Forschungen!C32)*(1+VLOOKUP($B$2,Rassen!$A$2:$L$5,3,FALSE))</f>
        <v>13.086505723622402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1.56</v>
      </c>
      <c r="S39" s="175" t="s">
        <v>209</v>
      </c>
    </row>
    <row r="40" spans="1:19" ht="26.25" thickBot="1" x14ac:dyDescent="0.25">
      <c r="A40" s="216"/>
      <c r="B40" s="217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84" t="s">
        <v>208</v>
      </c>
    </row>
  </sheetData>
  <sheetProtection selectLockedCells="1" selectUnlockedCells="1"/>
  <mergeCells count="15">
    <mergeCell ref="A6:A17"/>
    <mergeCell ref="B6:B8"/>
    <mergeCell ref="B9:B11"/>
    <mergeCell ref="B12:B14"/>
    <mergeCell ref="B15:B17"/>
    <mergeCell ref="A31:A35"/>
    <mergeCell ref="B31:B35"/>
    <mergeCell ref="A36:A38"/>
    <mergeCell ref="B36:B38"/>
    <mergeCell ref="A39:B40"/>
    <mergeCell ref="A18:A30"/>
    <mergeCell ref="B19:B21"/>
    <mergeCell ref="B23:B25"/>
    <mergeCell ref="B26:B27"/>
    <mergeCell ref="B28:B29"/>
  </mergeCells>
  <conditionalFormatting sqref="L39:M39">
    <cfRule type="cellIs" dxfId="18" priority="17" stopIfTrue="1" operator="lessThan">
      <formula>0</formula>
    </cfRule>
  </conditionalFormatting>
  <conditionalFormatting sqref="E39:J39 L39:M39">
    <cfRule type="containsErrors" dxfId="17" priority="16" stopIfTrue="1">
      <formula>ISERROR(E39)</formula>
    </cfRule>
  </conditionalFormatting>
  <conditionalFormatting sqref="L40:M40">
    <cfRule type="cellIs" dxfId="16" priority="13" stopIfTrue="1" operator="lessThan">
      <formula>0</formula>
    </cfRule>
  </conditionalFormatting>
  <conditionalFormatting sqref="N40">
    <cfRule type="cellIs" dxfId="15" priority="10" stopIfTrue="1" operator="lessThan">
      <formula>0</formula>
    </cfRule>
  </conditionalFormatting>
  <conditionalFormatting sqref="N5">
    <cfRule type="containsErrors" dxfId="14" priority="9" stopIfTrue="1">
      <formula>ISERROR(N5)</formula>
    </cfRule>
  </conditionalFormatting>
  <conditionalFormatting sqref="K39">
    <cfRule type="containsErrors" dxfId="13" priority="7" stopIfTrue="1">
      <formula>ISERROR(K39)</formula>
    </cfRule>
  </conditionalFormatting>
  <conditionalFormatting sqref="K39">
    <cfRule type="cellIs" dxfId="12" priority="6" operator="greaterThan">
      <formula>$K$4</formula>
    </cfRule>
  </conditionalFormatting>
  <conditionalFormatting sqref="N39">
    <cfRule type="cellIs" dxfId="11" priority="5" stopIfTrue="1" operator="lessThan">
      <formula>0</formula>
    </cfRule>
  </conditionalFormatting>
  <conditionalFormatting sqref="N39">
    <cfRule type="containsErrors" dxfId="10" priority="4" stopIfTrue="1">
      <formula>ISERROR(N39)</formula>
    </cfRule>
  </conditionalFormatting>
  <conditionalFormatting sqref="E5:M5">
    <cfRule type="containsErrors" dxfId="9" priority="2" stopIfTrue="1">
      <formula>ISERROR(E5)</formula>
    </cfRule>
  </conditionalFormatting>
  <conditionalFormatting sqref="D4:D5">
    <cfRule type="cellIs" dxfId="8" priority="1" stopIfTrue="1" operator="notEqual">
      <formula>1</formula>
    </cfRule>
  </conditionalFormatting>
  <dataValidations count="1">
    <dataValidation type="list" allowBlank="1" showInputMessage="1" showErrorMessage="1" sqref="B2" xr:uid="{00000000-0002-0000-07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A83A30-410B-4ECF-9233-9EE4317E5517}">
          <x14:formula1>
            <xm:f>Komponenten!$Z$2:$Z$5</xm:f>
          </x14:formula1>
          <xm:sqref>B5</xm:sqref>
        </x14:dataValidation>
        <x14:dataValidation type="list" allowBlank="1" showInputMessage="1" showErrorMessage="1" xr:uid="{27A081BB-7BE1-497C-89DA-2091209E8577}">
          <x14:formula1>
            <xm:f>Komponenten!$C$2:$C$4</xm:f>
          </x14:formula1>
          <xm:sqref>B4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Q18"/>
  <sheetViews>
    <sheetView workbookViewId="0">
      <selection activeCell="I27" sqref="I27"/>
    </sheetView>
  </sheetViews>
  <sheetFormatPr baseColWidth="10" defaultRowHeight="12.75" x14ac:dyDescent="0.2"/>
  <cols>
    <col min="1" max="1" width="5.5703125" customWidth="1"/>
    <col min="2" max="2" width="22.28515625" customWidth="1"/>
    <col min="3" max="14" width="10" customWidth="1"/>
    <col min="15" max="15" width="11.140625" customWidth="1"/>
    <col min="16" max="16" width="12.28515625" customWidth="1"/>
    <col min="17" max="17" width="13.28515625" customWidth="1"/>
  </cols>
  <sheetData>
    <row r="2" spans="2:17" ht="13.5" thickBot="1" x14ac:dyDescent="0.25">
      <c r="B2" s="106" t="s">
        <v>164</v>
      </c>
    </row>
    <row r="3" spans="2:17" ht="25.5" x14ac:dyDescent="0.2">
      <c r="B3" s="50" t="s">
        <v>140</v>
      </c>
      <c r="C3" s="51" t="s">
        <v>3</v>
      </c>
      <c r="D3" s="51" t="s">
        <v>4</v>
      </c>
      <c r="E3" s="51" t="s">
        <v>5</v>
      </c>
      <c r="F3" s="51" t="s">
        <v>6</v>
      </c>
      <c r="G3" s="51" t="s">
        <v>7</v>
      </c>
      <c r="H3" s="51" t="s">
        <v>8</v>
      </c>
      <c r="I3" s="52" t="s">
        <v>146</v>
      </c>
      <c r="J3" s="52" t="s">
        <v>142</v>
      </c>
      <c r="K3" s="52" t="s">
        <v>143</v>
      </c>
      <c r="L3" s="52" t="s">
        <v>155</v>
      </c>
      <c r="M3" s="52" t="s">
        <v>12</v>
      </c>
      <c r="N3" s="52" t="s">
        <v>14</v>
      </c>
      <c r="O3" s="52" t="s">
        <v>15</v>
      </c>
      <c r="P3" s="149" t="s">
        <v>131</v>
      </c>
      <c r="Q3" s="126" t="s">
        <v>208</v>
      </c>
    </row>
    <row r="4" spans="2:17" ht="18" customHeight="1" x14ac:dyDescent="0.2">
      <c r="B4" s="60">
        <f>'Schiffsdesign 01'!$B$3</f>
        <v>0</v>
      </c>
      <c r="C4" s="56">
        <f>'Schiffsdesign 01'!$E$39</f>
        <v>56800.000000000007</v>
      </c>
      <c r="D4" s="56">
        <f>'Schiffsdesign 01'!$F$39</f>
        <v>37333.333333333336</v>
      </c>
      <c r="E4" s="56">
        <f>'Schiffsdesign 01'!$G$39</f>
        <v>59006.666666666672</v>
      </c>
      <c r="F4" s="56">
        <f>'Schiffsdesign 01'!$H$39</f>
        <v>55333.333333333343</v>
      </c>
      <c r="G4" s="56">
        <f>'Schiffsdesign 01'!$I$39</f>
        <v>24566.666666666668</v>
      </c>
      <c r="H4" s="56">
        <f>'Schiffsdesign 01'!$J$39</f>
        <v>0</v>
      </c>
      <c r="I4" s="63">
        <f>'Schiffsdesign 01'!$K$39</f>
        <v>17260</v>
      </c>
      <c r="J4" s="63">
        <f>'Schiffsdesign 01'!$L$39</f>
        <v>17740</v>
      </c>
      <c r="K4" s="63">
        <f>'Schiffsdesign 01'!$M$39</f>
        <v>7500</v>
      </c>
      <c r="L4" s="63">
        <f>'Schiffsdesign 01'!$N$39</f>
        <v>108.4310474242999</v>
      </c>
      <c r="M4" s="56">
        <f>'Schiffsdesign 01'!$O$39</f>
        <v>0</v>
      </c>
      <c r="N4" s="56">
        <f>'Schiffsdesign 01'!$P$39</f>
        <v>0</v>
      </c>
      <c r="O4" s="56">
        <f>'Schiffsdesign 01'!$Q$39</f>
        <v>0</v>
      </c>
      <c r="P4" s="150">
        <f>'Schiffsdesign 01'!$R$39</f>
        <v>1.5068571428571429</v>
      </c>
      <c r="Q4" s="187" t="str">
        <f>'Schiffsdesign 01'!S39</f>
        <v>HA, NS, NT, SK, EB, SF, HE, VB, LD</v>
      </c>
    </row>
    <row r="5" spans="2:17" ht="18" customHeight="1" x14ac:dyDescent="0.2">
      <c r="B5" s="60">
        <f>'Schiffsdesign 02'!$B$3</f>
        <v>0</v>
      </c>
      <c r="C5" s="56">
        <f>'Schiffsdesign 02'!$E$39</f>
        <v>29033.333333333336</v>
      </c>
      <c r="D5" s="56">
        <f>'Schiffsdesign 02'!$F$39</f>
        <v>32133.333333333339</v>
      </c>
      <c r="E5" s="56">
        <f>'Schiffsdesign 02'!$G$39</f>
        <v>0</v>
      </c>
      <c r="F5" s="56">
        <f>'Schiffsdesign 02'!$H$39</f>
        <v>41000.000000000007</v>
      </c>
      <c r="G5" s="56">
        <f>'Schiffsdesign 02'!$I$39</f>
        <v>15600.000000000002</v>
      </c>
      <c r="H5" s="56">
        <f>'Schiffsdesign 02'!$J$39</f>
        <v>0</v>
      </c>
      <c r="I5" s="63">
        <f>'Schiffsdesign 02'!$K$39</f>
        <v>17260</v>
      </c>
      <c r="J5" s="63">
        <f>'Schiffsdesign 02'!$L$39</f>
        <v>17740</v>
      </c>
      <c r="K5" s="56">
        <f>'Schiffsdesign 02'!$M$39</f>
        <v>7500</v>
      </c>
      <c r="L5" s="56">
        <f>'Schiffsdesign 02'!$N$39</f>
        <v>87.399163225621038</v>
      </c>
      <c r="M5" s="56">
        <f>'Schiffsdesign 02'!$O$39</f>
        <v>0</v>
      </c>
      <c r="N5" s="56">
        <f>'Schiffsdesign 02'!$P$39</f>
        <v>0</v>
      </c>
      <c r="O5" s="56">
        <f>'Schiffsdesign 02'!$Q$39</f>
        <v>0</v>
      </c>
      <c r="P5" s="150">
        <f>'Schiffsdesign 02'!$R$39</f>
        <v>1.5068571428571429</v>
      </c>
      <c r="Q5" s="187" t="str">
        <f>'Schiffsdesign 02'!S39</f>
        <v>NU, NS, NT, SK, EB, SF, HE, VB, LD</v>
      </c>
    </row>
    <row r="6" spans="2:17" ht="18" customHeight="1" x14ac:dyDescent="0.2">
      <c r="B6" s="64">
        <f>'Schiffsdesign 03'!$B$3</f>
        <v>0</v>
      </c>
      <c r="C6" s="65">
        <f>'Schiffsdesign 03'!$E$39</f>
        <v>29033.333333333336</v>
      </c>
      <c r="D6" s="65">
        <f>'Schiffsdesign 03'!$F$39</f>
        <v>32133.333333333339</v>
      </c>
      <c r="E6" s="65">
        <f>'Schiffsdesign 03'!$G$39</f>
        <v>0</v>
      </c>
      <c r="F6" s="65">
        <f>'Schiffsdesign 03'!$H$39</f>
        <v>41000.000000000007</v>
      </c>
      <c r="G6" s="65">
        <f>'Schiffsdesign 03'!$I$39</f>
        <v>15600.000000000002</v>
      </c>
      <c r="H6" s="65">
        <f>'Schiffsdesign 03'!$J$39</f>
        <v>0</v>
      </c>
      <c r="I6" s="63">
        <f>'Schiffsdesign 03'!$K$39</f>
        <v>17260</v>
      </c>
      <c r="J6" s="63">
        <f>'Schiffsdesign 03'!$L$39</f>
        <v>17740</v>
      </c>
      <c r="K6" s="65">
        <f>'Schiffsdesign 03'!$M$39</f>
        <v>7500</v>
      </c>
      <c r="L6" s="65">
        <f>'Schiffsdesign 03'!$N$39</f>
        <v>87.399163225621038</v>
      </c>
      <c r="M6" s="65">
        <f>'Schiffsdesign 03'!$O$39</f>
        <v>0</v>
      </c>
      <c r="N6" s="65">
        <f>'Schiffsdesign 03'!$P$39</f>
        <v>0</v>
      </c>
      <c r="O6" s="65">
        <f>'Schiffsdesign 03'!$Q$39</f>
        <v>0</v>
      </c>
      <c r="P6" s="151">
        <f>'Schiffsdesign 03'!$R$39</f>
        <v>1.5068571428571429</v>
      </c>
      <c r="Q6" s="187" t="str">
        <f>'Schiffsdesign 03'!S39</f>
        <v>NU, EB, SF, SK, HE, VB, LD</v>
      </c>
    </row>
    <row r="7" spans="2:17" ht="18" customHeight="1" x14ac:dyDescent="0.2">
      <c r="B7" s="64">
        <f>'Schiffsdesign 04'!$B$3</f>
        <v>0</v>
      </c>
      <c r="C7" s="65">
        <f>'Schiffsdesign 04'!$E$39</f>
        <v>29033.333333333336</v>
      </c>
      <c r="D7" s="65">
        <f>'Schiffsdesign 04'!$F$39</f>
        <v>32133.333333333339</v>
      </c>
      <c r="E7" s="65">
        <f>'Schiffsdesign 04'!$G$39</f>
        <v>0</v>
      </c>
      <c r="F7" s="65">
        <f>'Schiffsdesign 04'!$H$39</f>
        <v>41000.000000000007</v>
      </c>
      <c r="G7" s="65">
        <f>'Schiffsdesign 04'!$I$39</f>
        <v>15600.000000000002</v>
      </c>
      <c r="H7" s="65">
        <f>'Schiffsdesign 04'!$J$39</f>
        <v>0</v>
      </c>
      <c r="I7" s="63">
        <f>'Schiffsdesign 04'!$K$39</f>
        <v>17260</v>
      </c>
      <c r="J7" s="63">
        <f>'Schiffsdesign 04'!$L$39</f>
        <v>17740</v>
      </c>
      <c r="K7" s="65">
        <f>'Schiffsdesign 04'!$M$39</f>
        <v>7500</v>
      </c>
      <c r="L7" s="65">
        <f>'Schiffsdesign 04'!$N$39</f>
        <v>87.399163225621038</v>
      </c>
      <c r="M7" s="65">
        <f>'Schiffsdesign 04'!$O$39</f>
        <v>0</v>
      </c>
      <c r="N7" s="65">
        <f>'Schiffsdesign 04'!$P$39</f>
        <v>0</v>
      </c>
      <c r="O7" s="65">
        <f>'Schiffsdesign 04'!$Q$39</f>
        <v>0</v>
      </c>
      <c r="P7" s="151">
        <f>'Schiffsdesign 04'!$R$39</f>
        <v>1.5068571428571429</v>
      </c>
      <c r="Q7" s="187" t="str">
        <f>'Schiffsdesign 04'!S39</f>
        <v>NU</v>
      </c>
    </row>
    <row r="8" spans="2:17" ht="18" customHeight="1" thickBot="1" x14ac:dyDescent="0.25">
      <c r="B8" s="61">
        <f>'Schiffsdesign 05'!$B$3</f>
        <v>0</v>
      </c>
      <c r="C8" s="57">
        <f>'Schiffsdesign 05'!$E$39</f>
        <v>1233.3333333333335</v>
      </c>
      <c r="D8" s="57">
        <f>'Schiffsdesign 05'!$F$39</f>
        <v>1233.3333333333335</v>
      </c>
      <c r="E8" s="57">
        <f>'Schiffsdesign 05'!$G$39</f>
        <v>0</v>
      </c>
      <c r="F8" s="57">
        <f>'Schiffsdesign 05'!$H$39</f>
        <v>1383.3333333333335</v>
      </c>
      <c r="G8" s="57">
        <f>'Schiffsdesign 05'!$I$39</f>
        <v>1733.3333333333335</v>
      </c>
      <c r="H8" s="57">
        <f>'Schiffsdesign 05'!$J$39</f>
        <v>0</v>
      </c>
      <c r="I8" s="57">
        <f>'Schiffsdesign 05'!$K$39</f>
        <v>660</v>
      </c>
      <c r="J8" s="57">
        <f>'Schiffsdesign 05'!$L$39</f>
        <v>840</v>
      </c>
      <c r="K8" s="57">
        <f>'Schiffsdesign 05'!$M$39</f>
        <v>300</v>
      </c>
      <c r="L8" s="57">
        <f>'Schiffsdesign 05'!$N$39</f>
        <v>13.086505723622402</v>
      </c>
      <c r="M8" s="57">
        <f>'Schiffsdesign 05'!$O$39</f>
        <v>0</v>
      </c>
      <c r="N8" s="57">
        <f>'Schiffsdesign 05'!$P$39</f>
        <v>0</v>
      </c>
      <c r="O8" s="57">
        <f>'Schiffsdesign 05'!$Q$39</f>
        <v>0</v>
      </c>
      <c r="P8" s="152">
        <f>'Schiffsdesign 05'!$R$39</f>
        <v>1.56</v>
      </c>
      <c r="Q8" s="188" t="str">
        <f>'Schiffsdesign 05'!S39</f>
        <v>NU</v>
      </c>
    </row>
    <row r="12" spans="2:17" ht="13.5" thickBot="1" x14ac:dyDescent="0.25">
      <c r="B12" s="106" t="s">
        <v>163</v>
      </c>
    </row>
    <row r="13" spans="2:17" ht="25.5" x14ac:dyDescent="0.2">
      <c r="B13" s="50" t="s">
        <v>140</v>
      </c>
      <c r="C13" s="111" t="s">
        <v>166</v>
      </c>
      <c r="D13" s="51" t="s">
        <v>3</v>
      </c>
      <c r="E13" s="51" t="s">
        <v>4</v>
      </c>
      <c r="F13" s="51" t="s">
        <v>5</v>
      </c>
      <c r="G13" s="51" t="s">
        <v>6</v>
      </c>
      <c r="H13" s="51" t="s">
        <v>7</v>
      </c>
      <c r="I13" s="51" t="s">
        <v>8</v>
      </c>
      <c r="J13" s="52" t="s">
        <v>12</v>
      </c>
      <c r="K13" s="52" t="s">
        <v>14</v>
      </c>
      <c r="L13" s="52" t="s">
        <v>15</v>
      </c>
      <c r="M13" s="52" t="s">
        <v>165</v>
      </c>
      <c r="N13" s="52" t="s">
        <v>167</v>
      </c>
      <c r="O13" s="115" t="s">
        <v>168</v>
      </c>
      <c r="P13" s="115" t="s">
        <v>172</v>
      </c>
      <c r="Q13" s="126" t="s">
        <v>173</v>
      </c>
    </row>
    <row r="14" spans="2:17" ht="18" customHeight="1" x14ac:dyDescent="0.2">
      <c r="B14" s="60">
        <f>B4</f>
        <v>0</v>
      </c>
      <c r="C14" s="112">
        <f>1440/L4</f>
        <v>13.280329151162375</v>
      </c>
      <c r="D14" s="56">
        <f t="shared" ref="D14:I14" si="0">1440/$L$4*C4</f>
        <v>754322.69578602305</v>
      </c>
      <c r="E14" s="56">
        <f t="shared" si="0"/>
        <v>495798.95497672871</v>
      </c>
      <c r="F14" s="56">
        <f t="shared" si="0"/>
        <v>783627.95544625458</v>
      </c>
      <c r="G14" s="56">
        <f t="shared" si="0"/>
        <v>734844.8796976516</v>
      </c>
      <c r="H14" s="56">
        <f t="shared" si="0"/>
        <v>326253.41948022239</v>
      </c>
      <c r="I14" s="56">
        <f t="shared" si="0"/>
        <v>0</v>
      </c>
      <c r="J14" s="56">
        <f>1440/$L$4*M4</f>
        <v>0</v>
      </c>
      <c r="K14" s="56">
        <f t="shared" ref="K14:L14" si="1">1440/$L$4*N4</f>
        <v>0</v>
      </c>
      <c r="L14" s="56">
        <f t="shared" si="1"/>
        <v>0</v>
      </c>
      <c r="M14" s="107">
        <f>(J14+K14)/(SUM(D14:H14)+I14*10)*1000</f>
        <v>0</v>
      </c>
      <c r="N14" s="108">
        <f>L14/(SUM(D14:H14)+I14*10)*1000</f>
        <v>0</v>
      </c>
      <c r="O14" s="116">
        <f>J14+K14</f>
        <v>0</v>
      </c>
      <c r="P14" s="123">
        <f>M14+N14+(O14/1000)</f>
        <v>0</v>
      </c>
      <c r="Q14" s="119">
        <f>M14+(O14/1000)</f>
        <v>0</v>
      </c>
    </row>
    <row r="15" spans="2:17" ht="18" customHeight="1" x14ac:dyDescent="0.2">
      <c r="B15" s="60">
        <f t="shared" ref="B15:B18" si="2">B5</f>
        <v>0</v>
      </c>
      <c r="C15" s="112">
        <f t="shared" ref="C15:C18" si="3">1440/L5</f>
        <v>16.476130283795033</v>
      </c>
      <c r="D15" s="56">
        <f>1440/$L$5*C5</f>
        <v>478356.98257284914</v>
      </c>
      <c r="E15" s="56">
        <f t="shared" ref="E15:I15" si="4">1440/$L$5*D5</f>
        <v>529432.98645261384</v>
      </c>
      <c r="F15" s="56">
        <f t="shared" si="4"/>
        <v>0</v>
      </c>
      <c r="G15" s="56">
        <f t="shared" si="4"/>
        <v>675521.34163559647</v>
      </c>
      <c r="H15" s="56">
        <f t="shared" si="4"/>
        <v>257027.63242720254</v>
      </c>
      <c r="I15" s="56">
        <f t="shared" si="4"/>
        <v>0</v>
      </c>
      <c r="J15" s="56">
        <f>1440/$L$5*M5</f>
        <v>0</v>
      </c>
      <c r="K15" s="56">
        <f t="shared" ref="K15:L15" si="5">1440/$L$5*N5</f>
        <v>0</v>
      </c>
      <c r="L15" s="56">
        <f t="shared" si="5"/>
        <v>0</v>
      </c>
      <c r="M15" s="108">
        <f t="shared" ref="M15:M18" si="6">(J15+K15)/(SUM(D15:H15)+I15*10)*1000</f>
        <v>0</v>
      </c>
      <c r="N15" s="108">
        <f t="shared" ref="N15:N18" si="7">L15/(SUM(D15:H15)+I15*10)*1000</f>
        <v>0</v>
      </c>
      <c r="O15" s="116">
        <f t="shared" ref="O15:O18" si="8">J15+K15</f>
        <v>0</v>
      </c>
      <c r="P15" s="123">
        <f t="shared" ref="P15:P18" si="9">M15+N15+(O15/1000)</f>
        <v>0</v>
      </c>
      <c r="Q15" s="119">
        <f t="shared" ref="Q15:Q18" si="10">M15+(O15/1000)</f>
        <v>0</v>
      </c>
    </row>
    <row r="16" spans="2:17" ht="18" customHeight="1" x14ac:dyDescent="0.2">
      <c r="B16" s="64">
        <f t="shared" si="2"/>
        <v>0</v>
      </c>
      <c r="C16" s="113">
        <f t="shared" si="3"/>
        <v>16.476130283795033</v>
      </c>
      <c r="D16" s="65">
        <f>1440/$L$6*C6</f>
        <v>478356.98257284914</v>
      </c>
      <c r="E16" s="65">
        <f t="shared" ref="E16:I16" si="11">1440/$L$6*D6</f>
        <v>529432.98645261384</v>
      </c>
      <c r="F16" s="65">
        <f t="shared" si="11"/>
        <v>0</v>
      </c>
      <c r="G16" s="65">
        <f t="shared" si="11"/>
        <v>675521.34163559647</v>
      </c>
      <c r="H16" s="65">
        <f t="shared" si="11"/>
        <v>257027.63242720254</v>
      </c>
      <c r="I16" s="65">
        <f t="shared" si="11"/>
        <v>0</v>
      </c>
      <c r="J16" s="65">
        <f>1440/$L$6*M6</f>
        <v>0</v>
      </c>
      <c r="K16" s="65">
        <f t="shared" ref="K16:L16" si="12">1440/$L$6*N6</f>
        <v>0</v>
      </c>
      <c r="L16" s="65">
        <f t="shared" si="12"/>
        <v>0</v>
      </c>
      <c r="M16" s="109">
        <f t="shared" si="6"/>
        <v>0</v>
      </c>
      <c r="N16" s="109">
        <f t="shared" si="7"/>
        <v>0</v>
      </c>
      <c r="O16" s="117">
        <f t="shared" si="8"/>
        <v>0</v>
      </c>
      <c r="P16" s="124">
        <f t="shared" si="9"/>
        <v>0</v>
      </c>
      <c r="Q16" s="120">
        <f t="shared" si="10"/>
        <v>0</v>
      </c>
    </row>
    <row r="17" spans="2:17" ht="18" customHeight="1" x14ac:dyDescent="0.2">
      <c r="B17" s="64">
        <f t="shared" si="2"/>
        <v>0</v>
      </c>
      <c r="C17" s="113">
        <f t="shared" si="3"/>
        <v>16.476130283795033</v>
      </c>
      <c r="D17" s="65">
        <f>1440/$L$7*C7</f>
        <v>478356.98257284914</v>
      </c>
      <c r="E17" s="65">
        <f t="shared" ref="E17:I17" si="13">1440/$L$7*D7</f>
        <v>529432.98645261384</v>
      </c>
      <c r="F17" s="65">
        <f t="shared" si="13"/>
        <v>0</v>
      </c>
      <c r="G17" s="65">
        <f t="shared" si="13"/>
        <v>675521.34163559647</v>
      </c>
      <c r="H17" s="65">
        <f t="shared" si="13"/>
        <v>257027.63242720254</v>
      </c>
      <c r="I17" s="65">
        <f t="shared" si="13"/>
        <v>0</v>
      </c>
      <c r="J17" s="65">
        <f>1440/$L$7*M7</f>
        <v>0</v>
      </c>
      <c r="K17" s="65">
        <f t="shared" ref="K17:L17" si="14">1440/$L$7*N7</f>
        <v>0</v>
      </c>
      <c r="L17" s="65">
        <f t="shared" si="14"/>
        <v>0</v>
      </c>
      <c r="M17" s="109">
        <f t="shared" si="6"/>
        <v>0</v>
      </c>
      <c r="N17" s="109">
        <f t="shared" si="7"/>
        <v>0</v>
      </c>
      <c r="O17" s="117">
        <f t="shared" si="8"/>
        <v>0</v>
      </c>
      <c r="P17" s="124">
        <f t="shared" si="9"/>
        <v>0</v>
      </c>
      <c r="Q17" s="120">
        <f t="shared" si="10"/>
        <v>0</v>
      </c>
    </row>
    <row r="18" spans="2:17" ht="18" customHeight="1" thickBot="1" x14ac:dyDescent="0.25">
      <c r="B18" s="61">
        <f t="shared" si="2"/>
        <v>0</v>
      </c>
      <c r="C18" s="114">
        <f t="shared" si="3"/>
        <v>110.03701296677397</v>
      </c>
      <c r="D18" s="57">
        <f>1440/$L$8*C8</f>
        <v>135712.31599235459</v>
      </c>
      <c r="E18" s="57">
        <f t="shared" ref="E18:I18" si="15">1440/$L$8*D8</f>
        <v>135712.31599235459</v>
      </c>
      <c r="F18" s="57">
        <f t="shared" si="15"/>
        <v>0</v>
      </c>
      <c r="G18" s="57">
        <f t="shared" si="15"/>
        <v>152217.86793737067</v>
      </c>
      <c r="H18" s="57">
        <f t="shared" si="15"/>
        <v>190730.82247574156</v>
      </c>
      <c r="I18" s="57">
        <f t="shared" si="15"/>
        <v>0</v>
      </c>
      <c r="J18" s="57">
        <f>1440/$L$8*M8</f>
        <v>0</v>
      </c>
      <c r="K18" s="57">
        <f t="shared" ref="K18:L18" si="16">1440/$L$8*N8</f>
        <v>0</v>
      </c>
      <c r="L18" s="57">
        <f t="shared" si="16"/>
        <v>0</v>
      </c>
      <c r="M18" s="110">
        <f t="shared" si="6"/>
        <v>0</v>
      </c>
      <c r="N18" s="110">
        <f t="shared" si="7"/>
        <v>0</v>
      </c>
      <c r="O18" s="118">
        <f t="shared" si="8"/>
        <v>0</v>
      </c>
      <c r="P18" s="125">
        <f t="shared" si="9"/>
        <v>0</v>
      </c>
      <c r="Q18" s="121">
        <f t="shared" si="10"/>
        <v>0</v>
      </c>
    </row>
  </sheetData>
  <conditionalFormatting sqref="J3:L3">
    <cfRule type="cellIs" dxfId="7" priority="19" stopIfTrue="1" operator="lessThan">
      <formula>0</formula>
    </cfRule>
  </conditionalFormatting>
  <conditionalFormatting sqref="M13">
    <cfRule type="cellIs" dxfId="6" priority="18" stopIfTrue="1" operator="lessThan">
      <formula>0</formula>
    </cfRule>
  </conditionalFormatting>
  <conditionalFormatting sqref="M14:M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:N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4:O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K8">
    <cfRule type="cellIs" dxfId="5" priority="6" operator="lessThan">
      <formula>0</formula>
    </cfRule>
  </conditionalFormatting>
  <conditionalFormatting sqref="Q14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paperSize="9" orientation="portrait" r:id="rId1"/>
  <headerFooter>
    <oddHeader>&amp;R&amp;"Arial"&amp;9&amp;K737373 Copyright Protection: Confidential - ISO 16016&amp;1#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operator="greaterThan" id="{468E6BC9-6AF3-4538-AD25-14E5FD2F0CAA}">
            <xm:f>'Schiffsdesign 01'!$K$4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I4</xm:sqref>
        </x14:conditionalFormatting>
        <x14:conditionalFormatting xmlns:xm="http://schemas.microsoft.com/office/excel/2006/main">
          <x14:cfRule type="cellIs" priority="5" operator="greaterThan" id="{B5FEBCAB-2209-43C4-8792-DE073C5CB5E6}">
            <xm:f>'Schiffsdesign 02'!$K$4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4" operator="greaterThan" id="{197A9142-BBB4-4362-996C-92B5EBE0D434}">
            <xm:f>'Schiffsdesign 03'!$K$4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cellIs" priority="3" operator="greaterThan" id="{8A10A281-D54E-4E0C-BF18-768E692DD3AC}">
            <xm:f>'Schiffsdesign 04'!$K$4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cellIs" priority="2" operator="greaterThan" id="{D29C5A39-BF7B-4FBE-BAFC-B7F910E6E95A}">
            <xm:f>'Schiffsdesign 05'!$K$4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B1:D19"/>
  <sheetViews>
    <sheetView tabSelected="1" workbookViewId="0">
      <selection activeCell="I9" sqref="I9"/>
    </sheetView>
  </sheetViews>
  <sheetFormatPr baseColWidth="10" defaultRowHeight="12.75" x14ac:dyDescent="0.2"/>
  <cols>
    <col min="4" max="4" width="92.28515625" customWidth="1"/>
  </cols>
  <sheetData>
    <row r="1" spans="2:4" ht="13.5" thickBot="1" x14ac:dyDescent="0.25"/>
    <row r="2" spans="2:4" ht="18" customHeight="1" x14ac:dyDescent="0.2">
      <c r="B2" s="34" t="s">
        <v>127</v>
      </c>
      <c r="C2" s="35" t="s">
        <v>128</v>
      </c>
      <c r="D2" s="36" t="s">
        <v>129</v>
      </c>
    </row>
    <row r="3" spans="2:4" ht="102" x14ac:dyDescent="0.2">
      <c r="B3" s="62" t="s">
        <v>130</v>
      </c>
      <c r="C3" s="38">
        <v>43530</v>
      </c>
      <c r="D3" s="37" t="s">
        <v>139</v>
      </c>
    </row>
    <row r="4" spans="2:4" ht="38.25" x14ac:dyDescent="0.2">
      <c r="B4" s="62" t="s">
        <v>141</v>
      </c>
      <c r="C4" s="38">
        <v>43530</v>
      </c>
      <c r="D4" s="37" t="s">
        <v>144</v>
      </c>
    </row>
    <row r="5" spans="2:4" ht="114.75" x14ac:dyDescent="0.2">
      <c r="B5" s="62" t="s">
        <v>145</v>
      </c>
      <c r="C5" s="38">
        <v>43531</v>
      </c>
      <c r="D5" s="37" t="s">
        <v>169</v>
      </c>
    </row>
    <row r="6" spans="2:4" ht="25.5" x14ac:dyDescent="0.2">
      <c r="B6" s="62" t="s">
        <v>170</v>
      </c>
      <c r="C6" s="38">
        <v>43532</v>
      </c>
      <c r="D6" s="37" t="s">
        <v>171</v>
      </c>
    </row>
    <row r="7" spans="2:4" ht="18" customHeight="1" x14ac:dyDescent="0.2">
      <c r="B7" s="62" t="s">
        <v>174</v>
      </c>
      <c r="C7" s="38">
        <v>43542</v>
      </c>
      <c r="D7" s="122" t="s">
        <v>175</v>
      </c>
    </row>
    <row r="8" spans="2:4" ht="38.25" x14ac:dyDescent="0.2">
      <c r="B8" s="147" t="s">
        <v>207</v>
      </c>
      <c r="C8" s="148">
        <v>43543</v>
      </c>
      <c r="D8" s="153" t="s">
        <v>210</v>
      </c>
    </row>
    <row r="9" spans="2:4" x14ac:dyDescent="0.2">
      <c r="B9" s="147" t="s">
        <v>211</v>
      </c>
      <c r="C9" s="148">
        <v>43566</v>
      </c>
      <c r="D9" s="153" t="s">
        <v>212</v>
      </c>
    </row>
    <row r="10" spans="2:4" ht="25.5" x14ac:dyDescent="0.2">
      <c r="B10" s="147" t="s">
        <v>213</v>
      </c>
      <c r="C10" s="148">
        <v>43766</v>
      </c>
      <c r="D10" s="153" t="s">
        <v>214</v>
      </c>
    </row>
    <row r="11" spans="2:4" x14ac:dyDescent="0.2">
      <c r="B11" s="192" t="s">
        <v>215</v>
      </c>
      <c r="C11" s="193" t="s">
        <v>216</v>
      </c>
      <c r="D11" s="194" t="s">
        <v>217</v>
      </c>
    </row>
    <row r="12" spans="2:4" x14ac:dyDescent="0.2">
      <c r="B12" s="192" t="s">
        <v>218</v>
      </c>
      <c r="C12" s="193" t="s">
        <v>219</v>
      </c>
      <c r="D12" s="194" t="s">
        <v>220</v>
      </c>
    </row>
    <row r="13" spans="2:4" x14ac:dyDescent="0.2">
      <c r="B13" s="192" t="s">
        <v>221</v>
      </c>
      <c r="C13" s="193" t="s">
        <v>219</v>
      </c>
      <c r="D13" s="194" t="s">
        <v>222</v>
      </c>
    </row>
    <row r="14" spans="2:4" x14ac:dyDescent="0.2">
      <c r="B14" s="192" t="s">
        <v>223</v>
      </c>
      <c r="C14" s="193" t="s">
        <v>224</v>
      </c>
      <c r="D14" s="194" t="s">
        <v>225</v>
      </c>
    </row>
    <row r="15" spans="2:4" x14ac:dyDescent="0.2">
      <c r="B15" s="196" t="s">
        <v>226</v>
      </c>
      <c r="C15" s="197" t="s">
        <v>227</v>
      </c>
      <c r="D15" s="198" t="s">
        <v>228</v>
      </c>
    </row>
    <row r="16" spans="2:4" x14ac:dyDescent="0.2">
      <c r="B16" s="196" t="s">
        <v>229</v>
      </c>
      <c r="C16" s="197" t="s">
        <v>230</v>
      </c>
      <c r="D16" s="198" t="s">
        <v>231</v>
      </c>
    </row>
    <row r="17" spans="2:4" x14ac:dyDescent="0.2">
      <c r="B17" s="196" t="s">
        <v>235</v>
      </c>
      <c r="C17" s="197" t="s">
        <v>236</v>
      </c>
      <c r="D17" s="198" t="s">
        <v>237</v>
      </c>
    </row>
    <row r="18" spans="2:4" ht="13.5" thickBot="1" x14ac:dyDescent="0.25">
      <c r="B18" s="219"/>
      <c r="C18" s="220"/>
      <c r="D18" s="221"/>
    </row>
    <row r="19" spans="2:4" x14ac:dyDescent="0.2">
      <c r="B19" s="190"/>
      <c r="C19" s="190"/>
      <c r="D19" s="191"/>
    </row>
  </sheetData>
  <pageMargins left="0.7" right="0.7" top="0.78740157499999996" bottom="0.78740157499999996" header="0.3" footer="0.3"/>
  <pageSetup paperSize="9" orientation="portrait" r:id="rId1"/>
  <headerFooter>
    <oddHeader>&amp;R&amp;"Arial"&amp;9&amp;K737373 Copyright Protection: Confidential - ISO 16016&amp;1#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5</vt:i4>
      </vt:variant>
    </vt:vector>
  </HeadingPairs>
  <TitlesOfParts>
    <vt:vector size="15" baseType="lpstr">
      <vt:lpstr>Komponenten</vt:lpstr>
      <vt:lpstr>Rassen</vt:lpstr>
      <vt:lpstr>Forschungen</vt:lpstr>
      <vt:lpstr>Schiffsdesign 01</vt:lpstr>
      <vt:lpstr>Schiffsdesign 02</vt:lpstr>
      <vt:lpstr>Schiffsdesign 03</vt:lpstr>
      <vt:lpstr>Schiffsdesign 04</vt:lpstr>
      <vt:lpstr>Schiffsdesign 05</vt:lpstr>
      <vt:lpstr>Schiffsübersicht</vt:lpstr>
      <vt:lpstr>Releasenotes</vt:lpstr>
      <vt:lpstr>Antrieb</vt:lpstr>
      <vt:lpstr>Forschung</vt:lpstr>
      <vt:lpstr>Rassen</vt:lpstr>
      <vt:lpstr>Rumpf</vt:lpstr>
      <vt:lpstr>'Schiffsdesign 01'!Zielbereich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Vanitas</dc:creator>
  <cp:lastModifiedBy>Vanitas</cp:lastModifiedBy>
  <dcterms:created xsi:type="dcterms:W3CDTF">2019-03-02T19:11:49Z</dcterms:created>
  <dcterms:modified xsi:type="dcterms:W3CDTF">2019-12-15T19:51:20Z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Bjoern.Aring@hella.com</vt:lpwstr>
  </property>
  <property fmtid="{D5CDD505-2E9C-101B-9397-08002B2CF9AE}" pid="5" name="MSIP_Label_5a4f3930-35a4-43d2-be4a-3a5160255453_SetDate">
    <vt:lpwstr>2019-10-28T12:51:54.2473442Z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19fd087b-7f20-4b4d-bf59-f8f2769c0a5f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4698f2b1-fe06-4489-9b90-7e2c0fb6f14e_Enabled">
    <vt:lpwstr>True</vt:lpwstr>
  </property>
  <property fmtid="{D5CDD505-2E9C-101B-9397-08002B2CF9AE}" pid="11" name="MSIP_Label_4698f2b1-fe06-4489-9b90-7e2c0fb6f14e_SiteId">
    <vt:lpwstr>2d5eb7e2-d3ee-4bf5-bc62-79d5ae9cd9e1</vt:lpwstr>
  </property>
  <property fmtid="{D5CDD505-2E9C-101B-9397-08002B2CF9AE}" pid="12" name="MSIP_Label_4698f2b1-fe06-4489-9b90-7e2c0fb6f14e_Owner">
    <vt:lpwstr>Bjoern.Aring@hella.com</vt:lpwstr>
  </property>
  <property fmtid="{D5CDD505-2E9C-101B-9397-08002B2CF9AE}" pid="13" name="MSIP_Label_4698f2b1-fe06-4489-9b90-7e2c0fb6f14e_SetDate">
    <vt:lpwstr>2019-10-28T12:51:54.2473442Z</vt:lpwstr>
  </property>
  <property fmtid="{D5CDD505-2E9C-101B-9397-08002B2CF9AE}" pid="14" name="MSIP_Label_4698f2b1-fe06-4489-9b90-7e2c0fb6f14e_Name">
    <vt:lpwstr>External Usage</vt:lpwstr>
  </property>
  <property fmtid="{D5CDD505-2E9C-101B-9397-08002B2CF9AE}" pid="15" name="MSIP_Label_4698f2b1-fe06-4489-9b90-7e2c0fb6f14e_Application">
    <vt:lpwstr>Microsoft Azure Information Protection</vt:lpwstr>
  </property>
  <property fmtid="{D5CDD505-2E9C-101B-9397-08002B2CF9AE}" pid="16" name="MSIP_Label_4698f2b1-fe06-4489-9b90-7e2c0fb6f14e_ActionId">
    <vt:lpwstr>19fd087b-7f20-4b4d-bf59-f8f2769c0a5f</vt:lpwstr>
  </property>
  <property fmtid="{D5CDD505-2E9C-101B-9397-08002B2CF9AE}" pid="17" name="MSIP_Label_4698f2b1-fe06-4489-9b90-7e2c0fb6f14e_Parent">
    <vt:lpwstr>5a4f3930-35a4-43d2-be4a-3a5160255453</vt:lpwstr>
  </property>
  <property fmtid="{D5CDD505-2E9C-101B-9397-08002B2CF9AE}" pid="18" name="MSIP_Label_4698f2b1-fe06-4489-9b90-7e2c0fb6f14e_Extended_MSFT_Method">
    <vt:lpwstr>Manual</vt:lpwstr>
  </property>
  <property fmtid="{D5CDD505-2E9C-101B-9397-08002B2CF9AE}" pid="19" name="Sensitivity">
    <vt:lpwstr>Internal External Usage</vt:lpwstr>
  </property>
</Properties>
</file>